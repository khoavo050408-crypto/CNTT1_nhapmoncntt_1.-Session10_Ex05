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Dan" sheetId="1" state="visible" r:id="rId3"/>
    <sheet name="CSDL_Virus" sheetId="2" state="visible" r:id="rId4"/>
    <sheet name="NhatKyHeThong" sheetId="3" state="visible" r:id="rId5"/>
    <sheet name="TongHop" sheetId="4" state="visible" r:id="rId6"/>
  </sheets>
  <definedNames>
    <definedName function="false" hidden="true" localSheetId="1" name="_xlnm._FilterDatabase" vbProcedure="false">CSDL_Virus!$A$1:$D$41</definedName>
    <definedName function="false" hidden="true" localSheetId="2" name="_xlnm._FilterDatabase" vbProcedure="false">NhatKyHeThong!$A$1:$G$301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<sst xmlns="http://schemas.openxmlformats.org/spreadsheetml/2006/main" count="1110" uniqueCount="405">
  <si>
    <t xml:space="preserve">NetGuard – Tra cứu loại mã độc cho Nhật ký hệ thống</t>
  </si>
  <si>
    <t xml:space="preserve">CSDL_Virus</t>
  </si>
  <si>
    <t xml:space="preserve">Bảng định nghĩa (40 mã). Cột A = Mã mã độc (luôn ở cột đầu), B = Tên, C = Loại, D = Mức độ.</t>
  </si>
  <si>
    <t xml:space="preserve">NhatKyHeThong</t>
  </si>
  <si>
    <t xml:space="preserve">Nhật ký thô 300 dòng. Nhập tay cột A–D. Cột E–G tự tra, không gõ đè. Cột D cố ý có khoảng trắng thừa như dữ liệu thực tế.</t>
  </si>
  <si>
    <t xml:space="preserve">TongHop</t>
  </si>
  <si>
    <t xml:space="preserve">Đếm số sự kiện theo loại và mức độ bằng COUNTIF, là nguồn số liệu cho báo cáo Word và Slide.</t>
  </si>
  <si>
    <t xml:space="preserve">Công thức E2</t>
  </si>
  <si>
    <t xml:space="preserve">Gõ vào E2: IFERROR(VLOOKUP(TRIM(SUBSTITUTE(D2,UNICHAR(160)," ")),CSDL_Virus!$A$2:$D$41,2,FALSE),"Chưa phân loại") – cột F dùng số 3, cột G dùng số 4. Kéo xuống dòng 301.</t>
  </si>
  <si>
    <t xml:space="preserve">Vì sao TRIM bọc ngoài</t>
  </si>
  <si>
    <t xml:space="preserve">Dữ liệu thô hay có khoảng trắng đầu/cuối (hoặc khoảng trắng không ngắt từ web). Không có TRIM, 'NG-007 ' khác 'NG-007' nên VLOOKUP báo lỗi. SUBSTITUTE đổi khoảng trắng không ngắt thành khoảng trắng thường để TRIM xử lý được.</t>
  </si>
  <si>
    <t xml:space="preserve">Vì sao có $</t>
  </si>
  <si>
    <t xml:space="preserve">$A$2:$D$41 khóa vùng tra khi kéo công thức xuống. D2 không có $ nên tự nhảy D3, D4…</t>
  </si>
  <si>
    <t xml:space="preserve">Số sự kiện chưa phân loại</t>
  </si>
  <si>
    <t xml:space="preserve">Quy tắc dữ liệu</t>
  </si>
  <si>
    <t xml:space="preserve">Không gộp ô · 1 dòng tiêu đề ở dòng 1 · mỗi ô 1 giá trị · không dòng/cột trống giữa bảng · mỗi cột 1 kiểu dữ liệu.</t>
  </si>
  <si>
    <t xml:space="preserve">Giả định</t>
  </si>
  <si>
    <t xml:space="preserve">Mã độc, tên, IP (dải tài liệu 198.51.100.x / 203.0.113.x), máy chủ và số liệu đều là dữ liệu MINH HỌA do người soạn tạo. Thay bằng dữ liệu thật của NetGuard.</t>
  </si>
  <si>
    <t xml:space="preserve">Mã mã độc</t>
  </si>
  <si>
    <t xml:space="preserve">Tên mã độc</t>
  </si>
  <si>
    <t xml:space="preserve">Loại</t>
  </si>
  <si>
    <t xml:space="preserve">Mức độ</t>
  </si>
  <si>
    <t xml:space="preserve">NG-001</t>
  </si>
  <si>
    <t xml:space="preserve">LockBay</t>
  </si>
  <si>
    <t xml:space="preserve">Ransomware</t>
  </si>
  <si>
    <t xml:space="preserve">Nghiêm trọng</t>
  </si>
  <si>
    <t xml:space="preserve">NG-002</t>
  </si>
  <si>
    <t xml:space="preserve">CrimsonLoop</t>
  </si>
  <si>
    <t xml:space="preserve">NG-003</t>
  </si>
  <si>
    <t xml:space="preserve">VaultBite</t>
  </si>
  <si>
    <t xml:space="preserve">NG-004</t>
  </si>
  <si>
    <t xml:space="preserve">AshCrypt</t>
  </si>
  <si>
    <t xml:space="preserve">Cao</t>
  </si>
  <si>
    <t xml:space="preserve">NG-005</t>
  </si>
  <si>
    <t xml:space="preserve">NullLatch</t>
  </si>
  <si>
    <t xml:space="preserve">NG-006</t>
  </si>
  <si>
    <t xml:space="preserve">GrimSeal</t>
  </si>
  <si>
    <t xml:space="preserve">NG-007</t>
  </si>
  <si>
    <t xml:space="preserve">SilentBank</t>
  </si>
  <si>
    <t xml:space="preserve">Trojan</t>
  </si>
  <si>
    <t xml:space="preserve">NG-008</t>
  </si>
  <si>
    <t xml:space="preserve">HollowDoor</t>
  </si>
  <si>
    <t xml:space="preserve">NG-009</t>
  </si>
  <si>
    <t xml:space="preserve">PaleMask</t>
  </si>
  <si>
    <t xml:space="preserve">Trung bình</t>
  </si>
  <si>
    <t xml:space="preserve">NG-010</t>
  </si>
  <si>
    <t xml:space="preserve">DriftKey</t>
  </si>
  <si>
    <t xml:space="preserve">NG-011</t>
  </si>
  <si>
    <t xml:space="preserve">TwinShell</t>
  </si>
  <si>
    <t xml:space="preserve">NG-012</t>
  </si>
  <si>
    <t xml:space="preserve">CopperVeil</t>
  </si>
  <si>
    <t xml:space="preserve">NG-013</t>
  </si>
  <si>
    <t xml:space="preserve">RiverSpark</t>
  </si>
  <si>
    <t xml:space="preserve">Worm</t>
  </si>
  <si>
    <t xml:space="preserve">NG-014</t>
  </si>
  <si>
    <t xml:space="preserve">LongCrawl</t>
  </si>
  <si>
    <t xml:space="preserve">NG-015</t>
  </si>
  <si>
    <t xml:space="preserve">EchoSwarm</t>
  </si>
  <si>
    <t xml:space="preserve">NG-016</t>
  </si>
  <si>
    <t xml:space="preserve">BrightFuse</t>
  </si>
  <si>
    <t xml:space="preserve">NG-017</t>
  </si>
  <si>
    <t xml:space="preserve">TideRoot</t>
  </si>
  <si>
    <t xml:space="preserve">Thấp</t>
  </si>
  <si>
    <t xml:space="preserve">NG-018</t>
  </si>
  <si>
    <t xml:space="preserve">QuietEye</t>
  </si>
  <si>
    <t xml:space="preserve">Spyware</t>
  </si>
  <si>
    <t xml:space="preserve">NG-019</t>
  </si>
  <si>
    <t xml:space="preserve">GlassTap</t>
  </si>
  <si>
    <t xml:space="preserve">NG-020</t>
  </si>
  <si>
    <t xml:space="preserve">LintWatch</t>
  </si>
  <si>
    <t xml:space="preserve">NG-021</t>
  </si>
  <si>
    <t xml:space="preserve">MoonScribe</t>
  </si>
  <si>
    <t xml:space="preserve">NG-022</t>
  </si>
  <si>
    <t xml:space="preserve">PaperOwl</t>
  </si>
  <si>
    <t xml:space="preserve">NG-023</t>
  </si>
  <si>
    <t xml:space="preserve">IronFlock</t>
  </si>
  <si>
    <t xml:space="preserve">Botnet</t>
  </si>
  <si>
    <t xml:space="preserve">NG-024</t>
  </si>
  <si>
    <t xml:space="preserve">HiveNote</t>
  </si>
  <si>
    <t xml:space="preserve">NG-025</t>
  </si>
  <si>
    <t xml:space="preserve">DuskRelay</t>
  </si>
  <si>
    <t xml:space="preserve">NG-026</t>
  </si>
  <si>
    <t xml:space="preserve">StormHerd</t>
  </si>
  <si>
    <t xml:space="preserve">NG-027</t>
  </si>
  <si>
    <t xml:space="preserve">GreyChain</t>
  </si>
  <si>
    <t xml:space="preserve">NG-028</t>
  </si>
  <si>
    <t xml:space="preserve">CoinMoth</t>
  </si>
  <si>
    <t xml:space="preserve">Cryptominer</t>
  </si>
  <si>
    <t xml:space="preserve">NG-029</t>
  </si>
  <si>
    <t xml:space="preserve">HeatLeech</t>
  </si>
  <si>
    <t xml:space="preserve">NG-030</t>
  </si>
  <si>
    <t xml:space="preserve">SlowForge</t>
  </si>
  <si>
    <t xml:space="preserve">NG-031</t>
  </si>
  <si>
    <t xml:space="preserve">DeepTick</t>
  </si>
  <si>
    <t xml:space="preserve">NG-032</t>
  </si>
  <si>
    <t xml:space="preserve">AmberRig</t>
  </si>
  <si>
    <t xml:space="preserve">NG-033</t>
  </si>
  <si>
    <t xml:space="preserve">BaitCrate</t>
  </si>
  <si>
    <t xml:space="preserve">Phishing kit</t>
  </si>
  <si>
    <t xml:space="preserve">NG-034</t>
  </si>
  <si>
    <t xml:space="preserve">FakeDawn</t>
  </si>
  <si>
    <t xml:space="preserve">NG-035</t>
  </si>
  <si>
    <t xml:space="preserve">HookLedger</t>
  </si>
  <si>
    <t xml:space="preserve">NG-036</t>
  </si>
  <si>
    <t xml:space="preserve">MirrorPage</t>
  </si>
  <si>
    <t xml:space="preserve">NG-037</t>
  </si>
  <si>
    <t xml:space="preserve">SilkLure</t>
  </si>
  <si>
    <t xml:space="preserve">NG-038</t>
  </si>
  <si>
    <t xml:space="preserve">DeepAnchor</t>
  </si>
  <si>
    <t xml:space="preserve">NG-039</t>
  </si>
  <si>
    <t xml:space="preserve">RustyHinge</t>
  </si>
  <si>
    <t xml:space="preserve">NG-040</t>
  </si>
  <si>
    <t xml:space="preserve">AshMirror</t>
  </si>
  <si>
    <t xml:space="preserve">Thời gian</t>
  </si>
  <si>
    <t xml:space="preserve">Máy chủ</t>
  </si>
  <si>
    <t xml:space="preserve">IP nguồn</t>
  </si>
  <si>
    <t xml:space="preserve">Mã mã độc (thô)</t>
  </si>
  <si>
    <t xml:space="preserve">SRV-FILE-01</t>
  </si>
  <si>
    <t xml:space="preserve">198.51.100.214</t>
  </si>
  <si>
    <t xml:space="preserve">PC-KETOAN-07</t>
  </si>
  <si>
    <t xml:space="preserve">203.0.113.185</t>
  </si>
  <si>
    <t xml:space="preserve">203.0.113.225</t>
  </si>
  <si>
    <t xml:space="preserve"> NG-016</t>
  </si>
  <si>
    <t xml:space="preserve">203.0.113.81</t>
  </si>
  <si>
    <t xml:space="preserve">SRV-WEB-02</t>
  </si>
  <si>
    <t xml:space="preserve">203.0.113.118</t>
  </si>
  <si>
    <t xml:space="preserve">NG-032 </t>
  </si>
  <si>
    <t xml:space="preserve">SRV-WEB-01</t>
  </si>
  <si>
    <t xml:space="preserve">198.51.100.201</t>
  </si>
  <si>
    <t xml:space="preserve">198.51.100.116</t>
  </si>
  <si>
    <t xml:space="preserve">203.0.113.247</t>
  </si>
  <si>
    <t xml:space="preserve">203.0.113.67</t>
  </si>
  <si>
    <t xml:space="preserve">PC-NHANSU-03</t>
  </si>
  <si>
    <t xml:space="preserve">203.0.113.138</t>
  </si>
  <si>
    <t xml:space="preserve">NG-028 </t>
  </si>
  <si>
    <t xml:space="preserve">203.0.113.140</t>
  </si>
  <si>
    <t xml:space="preserve">198.51.100.102</t>
  </si>
  <si>
    <t xml:space="preserve">198.51.100.117</t>
  </si>
  <si>
    <t xml:space="preserve">NG-037  </t>
  </si>
  <si>
    <t xml:space="preserve">SRV-DB-01</t>
  </si>
  <si>
    <t xml:space="preserve">198.51.100.98</t>
  </si>
  <si>
    <t xml:space="preserve">SRV-MAIL-01</t>
  </si>
  <si>
    <t xml:space="preserve">203.0.113.120</t>
  </si>
  <si>
    <t xml:space="preserve">198.51.100.56</t>
  </si>
  <si>
    <t xml:space="preserve">203.0.113.139</t>
  </si>
  <si>
    <t xml:space="preserve">203.0.113.131</t>
  </si>
  <si>
    <t xml:space="preserve">NG-998</t>
  </si>
  <si>
    <t xml:space="preserve">203.0.113.198</t>
  </si>
  <si>
    <t xml:space="preserve">203.0.113.206</t>
  </si>
  <si>
    <t xml:space="preserve"> NG-017</t>
  </si>
  <si>
    <t xml:space="preserve">198.51.100.122</t>
  </si>
  <si>
    <t xml:space="preserve">203.0.113.244</t>
  </si>
  <si>
    <t xml:space="preserve">198.51.100.114</t>
  </si>
  <si>
    <t xml:space="preserve">198.51.100.135</t>
  </si>
  <si>
    <t xml:space="preserve">203.0.113.173</t>
  </si>
  <si>
    <t xml:space="preserve">198.51.100.79</t>
  </si>
  <si>
    <t xml:space="preserve">203.0.113.53</t>
  </si>
  <si>
    <t xml:space="preserve">203.0.113.9</t>
  </si>
  <si>
    <t xml:space="preserve">203.0.113.141</t>
  </si>
  <si>
    <t xml:space="preserve">198.51.100.240</t>
  </si>
  <si>
    <t xml:space="preserve">NG-004 </t>
  </si>
  <si>
    <t xml:space="preserve">203.0.113.70</t>
  </si>
  <si>
    <t xml:space="preserve">203.0.113.136</t>
  </si>
  <si>
    <t xml:space="preserve">NG-016  </t>
  </si>
  <si>
    <t xml:space="preserve">198.51.100.238</t>
  </si>
  <si>
    <t xml:space="preserve">198.51.100.11</t>
  </si>
  <si>
    <t xml:space="preserve">NG-004 </t>
  </si>
  <si>
    <t xml:space="preserve">203.0.113.187</t>
  </si>
  <si>
    <t xml:space="preserve">  NG-005</t>
  </si>
  <si>
    <t xml:space="preserve">203.0.113.189</t>
  </si>
  <si>
    <t xml:space="preserve">198.51.100.139</t>
  </si>
  <si>
    <t xml:space="preserve">198.51.100.137</t>
  </si>
  <si>
    <t xml:space="preserve">PC-KINHDOANH-12</t>
  </si>
  <si>
    <t xml:space="preserve">198.51.100.61</t>
  </si>
  <si>
    <t xml:space="preserve">198.51.100.82</t>
  </si>
  <si>
    <t xml:space="preserve">198.51.100.188</t>
  </si>
  <si>
    <t xml:space="preserve">NG-036 </t>
  </si>
  <si>
    <t xml:space="preserve">198.51.100.53</t>
  </si>
  <si>
    <t xml:space="preserve">NG-008  </t>
  </si>
  <si>
    <t xml:space="preserve">203.0.113.31</t>
  </si>
  <si>
    <t xml:space="preserve">198.51.100.207</t>
  </si>
  <si>
    <t xml:space="preserve">203.0.113.39</t>
  </si>
  <si>
    <t xml:space="preserve"> NG-017 </t>
  </si>
  <si>
    <t xml:space="preserve">198.51.100.74</t>
  </si>
  <si>
    <t xml:space="preserve">198.51.100.197</t>
  </si>
  <si>
    <t xml:space="preserve">NG-003  </t>
  </si>
  <si>
    <t xml:space="preserve">203.0.113.112</t>
  </si>
  <si>
    <t xml:space="preserve">198.51.100.48</t>
  </si>
  <si>
    <t xml:space="preserve"> NG-023</t>
  </si>
  <si>
    <t xml:space="preserve">203.0.113.237</t>
  </si>
  <si>
    <t xml:space="preserve">203.0.113.230</t>
  </si>
  <si>
    <t xml:space="preserve">203.0.113.147</t>
  </si>
  <si>
    <t xml:space="preserve">203.0.113.208</t>
  </si>
  <si>
    <t xml:space="preserve">198.51.100.210</t>
  </si>
  <si>
    <t xml:space="preserve">198.51.100.20</t>
  </si>
  <si>
    <t xml:space="preserve">  NG-010</t>
  </si>
  <si>
    <t xml:space="preserve">203.0.113.57</t>
  </si>
  <si>
    <t xml:space="preserve">NG-999</t>
  </si>
  <si>
    <t xml:space="preserve">198.51.100.101</t>
  </si>
  <si>
    <t xml:space="preserve">198.51.100.191</t>
  </si>
  <si>
    <t xml:space="preserve"> NG-040 </t>
  </si>
  <si>
    <t xml:space="preserve">198.51.100.196</t>
  </si>
  <si>
    <t xml:space="preserve">203.0.113.72</t>
  </si>
  <si>
    <t xml:space="preserve">  NG-025</t>
  </si>
  <si>
    <t xml:space="preserve">198.51.100.165</t>
  </si>
  <si>
    <t xml:space="preserve">198.51.100.100</t>
  </si>
  <si>
    <t xml:space="preserve"> NG-033 </t>
  </si>
  <si>
    <t xml:space="preserve">203.0.113.109</t>
  </si>
  <si>
    <t xml:space="preserve">203.0.113.137</t>
  </si>
  <si>
    <t xml:space="preserve">203.0.113.145</t>
  </si>
  <si>
    <t xml:space="preserve">NG-017 </t>
  </si>
  <si>
    <t xml:space="preserve">198.51.100.5</t>
  </si>
  <si>
    <t xml:space="preserve">203.0.113.195</t>
  </si>
  <si>
    <t xml:space="preserve">NG-008 </t>
  </si>
  <si>
    <t xml:space="preserve">203.0.113.14</t>
  </si>
  <si>
    <t xml:space="preserve">198.51.100.206</t>
  </si>
  <si>
    <t xml:space="preserve">198.51.100.13</t>
  </si>
  <si>
    <t xml:space="preserve">203.0.113.38</t>
  </si>
  <si>
    <t xml:space="preserve"> NG-023 </t>
  </si>
  <si>
    <t xml:space="preserve">198.51.100.33</t>
  </si>
  <si>
    <t xml:space="preserve"> NG-007 </t>
  </si>
  <si>
    <t xml:space="preserve">203.0.113.155</t>
  </si>
  <si>
    <t xml:space="preserve">203.0.113.201</t>
  </si>
  <si>
    <t xml:space="preserve">  NG-008</t>
  </si>
  <si>
    <t xml:space="preserve">198.51.100.164</t>
  </si>
  <si>
    <t xml:space="preserve">198.51.100.130</t>
  </si>
  <si>
    <t xml:space="preserve">198.51.100.162</t>
  </si>
  <si>
    <t xml:space="preserve">198.51.100.161</t>
  </si>
  <si>
    <t xml:space="preserve">198.51.100.195</t>
  </si>
  <si>
    <t xml:space="preserve">203.0.113.125</t>
  </si>
  <si>
    <t xml:space="preserve">NG-037 </t>
  </si>
  <si>
    <t xml:space="preserve">203.0.113.192</t>
  </si>
  <si>
    <t xml:space="preserve">203.0.113.209</t>
  </si>
  <si>
    <t xml:space="preserve"> NG-034</t>
  </si>
  <si>
    <t xml:space="preserve">203.0.113.110</t>
  </si>
  <si>
    <t xml:space="preserve">203.0.113.41</t>
  </si>
  <si>
    <t xml:space="preserve">203.0.113.142</t>
  </si>
  <si>
    <t xml:space="preserve">203.0.113.169</t>
  </si>
  <si>
    <t xml:space="preserve">203.0.113.22</t>
  </si>
  <si>
    <t xml:space="preserve">203.0.113.210</t>
  </si>
  <si>
    <t xml:space="preserve">198.51.100.21</t>
  </si>
  <si>
    <t xml:space="preserve">198.51.100.179</t>
  </si>
  <si>
    <t xml:space="preserve">203.0.113.74</t>
  </si>
  <si>
    <t xml:space="preserve">203.0.113.95</t>
  </si>
  <si>
    <t xml:space="preserve">203.0.113.114</t>
  </si>
  <si>
    <t xml:space="preserve">203.0.113.58</t>
  </si>
  <si>
    <t xml:space="preserve">198.51.100.23</t>
  </si>
  <si>
    <t xml:space="preserve">203.0.113.205</t>
  </si>
  <si>
    <t xml:space="preserve">NG-033  </t>
  </si>
  <si>
    <t xml:space="preserve">198.51.100.24</t>
  </si>
  <si>
    <t xml:space="preserve">198.51.100.58</t>
  </si>
  <si>
    <t xml:space="preserve">198.51.100.168</t>
  </si>
  <si>
    <t xml:space="preserve">  NG-002</t>
  </si>
  <si>
    <t xml:space="preserve">198.51.100.87</t>
  </si>
  <si>
    <t xml:space="preserve">198.51.100.8</t>
  </si>
  <si>
    <t xml:space="preserve">  NG-009</t>
  </si>
  <si>
    <t xml:space="preserve">198.51.100.184</t>
  </si>
  <si>
    <t xml:space="preserve">NG-025  </t>
  </si>
  <si>
    <t xml:space="preserve">203.0.113.197</t>
  </si>
  <si>
    <t xml:space="preserve">203.0.113.174</t>
  </si>
  <si>
    <t xml:space="preserve">198.51.100.183</t>
  </si>
  <si>
    <t xml:space="preserve">203.0.113.220</t>
  </si>
  <si>
    <t xml:space="preserve">198.51.100.64</t>
  </si>
  <si>
    <t xml:space="preserve">198.51.100.84</t>
  </si>
  <si>
    <t xml:space="preserve">203.0.113.250</t>
  </si>
  <si>
    <t xml:space="preserve">203.0.113.167</t>
  </si>
  <si>
    <t xml:space="preserve">203.0.113.6</t>
  </si>
  <si>
    <t xml:space="preserve"> NG-031</t>
  </si>
  <si>
    <t xml:space="preserve">203.0.113.29</t>
  </si>
  <si>
    <t xml:space="preserve">198.51.100.155</t>
  </si>
  <si>
    <t xml:space="preserve">203.0.113.49</t>
  </si>
  <si>
    <t xml:space="preserve">203.0.113.162</t>
  </si>
  <si>
    <t xml:space="preserve">203.0.113.126</t>
  </si>
  <si>
    <t xml:space="preserve">203.0.113.171</t>
  </si>
  <si>
    <t xml:space="preserve">NG-037 </t>
  </si>
  <si>
    <t xml:space="preserve">NG-031 </t>
  </si>
  <si>
    <t xml:space="preserve">198.51.100.170</t>
  </si>
  <si>
    <t xml:space="preserve">203.0.113.117</t>
  </si>
  <si>
    <t xml:space="preserve">198.51.100.108</t>
  </si>
  <si>
    <t xml:space="preserve"> NG-031 </t>
  </si>
  <si>
    <t xml:space="preserve">198.51.100.40</t>
  </si>
  <si>
    <t xml:space="preserve">198.51.100.229</t>
  </si>
  <si>
    <t xml:space="preserve"> NG-026 </t>
  </si>
  <si>
    <t xml:space="preserve">198.51.100.202</t>
  </si>
  <si>
    <t xml:space="preserve">203.0.113.42</t>
  </si>
  <si>
    <t xml:space="preserve">203.0.113.121</t>
  </si>
  <si>
    <t xml:space="preserve">198.51.100.29</t>
  </si>
  <si>
    <t xml:space="preserve">198.51.100.169</t>
  </si>
  <si>
    <t xml:space="preserve">203.0.113.62</t>
  </si>
  <si>
    <t xml:space="preserve">198.51.100.221</t>
  </si>
  <si>
    <t xml:space="preserve">203.0.113.50</t>
  </si>
  <si>
    <t xml:space="preserve">203.0.113.146</t>
  </si>
  <si>
    <t xml:space="preserve">  NG-013</t>
  </si>
  <si>
    <t xml:space="preserve">203.0.113.25</t>
  </si>
  <si>
    <t xml:space="preserve">198.51.100.51</t>
  </si>
  <si>
    <t xml:space="preserve">NG-005 </t>
  </si>
  <si>
    <t xml:space="preserve">198.51.100.27</t>
  </si>
  <si>
    <t xml:space="preserve">203.0.113.106</t>
  </si>
  <si>
    <t xml:space="preserve">203.0.113.239</t>
  </si>
  <si>
    <t xml:space="preserve">198.51.100.212</t>
  </si>
  <si>
    <t xml:space="preserve">203.0.113.161</t>
  </si>
  <si>
    <t xml:space="preserve">203.0.113.203</t>
  </si>
  <si>
    <t xml:space="preserve">198.51.100.68</t>
  </si>
  <si>
    <t xml:space="preserve">203.0.113.213</t>
  </si>
  <si>
    <t xml:space="preserve">198.51.100.148</t>
  </si>
  <si>
    <t xml:space="preserve">198.51.100.147</t>
  </si>
  <si>
    <t xml:space="preserve">198.51.100.36</t>
  </si>
  <si>
    <t xml:space="preserve">203.0.113.86</t>
  </si>
  <si>
    <t xml:space="preserve">203.0.113.228</t>
  </si>
  <si>
    <t xml:space="preserve">198.51.100.233</t>
  </si>
  <si>
    <t xml:space="preserve">203.0.113.45</t>
  </si>
  <si>
    <t xml:space="preserve">198.51.100.118</t>
  </si>
  <si>
    <t xml:space="preserve"> NG-012 </t>
  </si>
  <si>
    <t xml:space="preserve">198.51.100.80</t>
  </si>
  <si>
    <t xml:space="preserve">203.0.113.159</t>
  </si>
  <si>
    <t xml:space="preserve">203.0.113.64</t>
  </si>
  <si>
    <t xml:space="preserve">198.51.100.105</t>
  </si>
  <si>
    <t xml:space="preserve"> NG-038</t>
  </si>
  <si>
    <t xml:space="preserve">203.0.113.231</t>
  </si>
  <si>
    <t xml:space="preserve">203.0.113.194</t>
  </si>
  <si>
    <t xml:space="preserve"> NG-004 </t>
  </si>
  <si>
    <t xml:space="preserve">203.0.113.234</t>
  </si>
  <si>
    <t xml:space="preserve">203.0.113.227</t>
  </si>
  <si>
    <t xml:space="preserve">198.51.100.123</t>
  </si>
  <si>
    <t xml:space="preserve">NG-035 </t>
  </si>
  <si>
    <t xml:space="preserve">203.0.113.170</t>
  </si>
  <si>
    <t xml:space="preserve">203.0.113.223</t>
  </si>
  <si>
    <t xml:space="preserve"> NG-014</t>
  </si>
  <si>
    <t xml:space="preserve">203.0.113.2</t>
  </si>
  <si>
    <t xml:space="preserve">203.0.113.46</t>
  </si>
  <si>
    <t xml:space="preserve">198.51.100.52</t>
  </si>
  <si>
    <t xml:space="preserve">198.51.100.138</t>
  </si>
  <si>
    <t xml:space="preserve">203.0.113.224</t>
  </si>
  <si>
    <t xml:space="preserve">NG-028  </t>
  </si>
  <si>
    <t xml:space="preserve">198.51.100.70</t>
  </si>
  <si>
    <t xml:space="preserve">203.0.113.204</t>
  </si>
  <si>
    <t xml:space="preserve">198.51.100.153</t>
  </si>
  <si>
    <t xml:space="preserve">198.51.100.172</t>
  </si>
  <si>
    <t xml:space="preserve">198.51.100.120</t>
  </si>
  <si>
    <t xml:space="preserve">198.51.100.3</t>
  </si>
  <si>
    <t xml:space="preserve">203.0.113.207</t>
  </si>
  <si>
    <t xml:space="preserve">198.51.100.204</t>
  </si>
  <si>
    <t xml:space="preserve">NG-040  </t>
  </si>
  <si>
    <t xml:space="preserve">198.51.100.154</t>
  </si>
  <si>
    <t xml:space="preserve">198.51.100.173</t>
  </si>
  <si>
    <t xml:space="preserve">NG-031  </t>
  </si>
  <si>
    <t xml:space="preserve">203.0.113.68</t>
  </si>
  <si>
    <t xml:space="preserve">198.51.100.157</t>
  </si>
  <si>
    <t xml:space="preserve"> NG-035</t>
  </si>
  <si>
    <t xml:space="preserve">203.0.113.211</t>
  </si>
  <si>
    <t xml:space="preserve">203.0.113.24</t>
  </si>
  <si>
    <t xml:space="preserve">198.51.100.42</t>
  </si>
  <si>
    <t xml:space="preserve">  NG-033</t>
  </si>
  <si>
    <t xml:space="preserve">203.0.113.17</t>
  </si>
  <si>
    <t xml:space="preserve">198.51.100.182</t>
  </si>
  <si>
    <t xml:space="preserve">198.51.100.39</t>
  </si>
  <si>
    <t xml:space="preserve">198.51.100.2</t>
  </si>
  <si>
    <t xml:space="preserve">198.51.100.250</t>
  </si>
  <si>
    <t xml:space="preserve">198.51.100.77</t>
  </si>
  <si>
    <t xml:space="preserve">198.51.100.190</t>
  </si>
  <si>
    <t xml:space="preserve">203.0.113.202</t>
  </si>
  <si>
    <t xml:space="preserve">203.0.113.65</t>
  </si>
  <si>
    <t xml:space="preserve">NG-007 </t>
  </si>
  <si>
    <t xml:space="preserve">203.0.113.54</t>
  </si>
  <si>
    <t xml:space="preserve">203.0.113.122</t>
  </si>
  <si>
    <t xml:space="preserve">198.51.100.222</t>
  </si>
  <si>
    <t xml:space="preserve">198.51.100.14</t>
  </si>
  <si>
    <t xml:space="preserve">198.51.100.134</t>
  </si>
  <si>
    <t xml:space="preserve">198.51.100.198</t>
  </si>
  <si>
    <t xml:space="preserve">  NG-012</t>
  </si>
  <si>
    <t xml:space="preserve">203.0.113.85</t>
  </si>
  <si>
    <t xml:space="preserve">198.51.100.50</t>
  </si>
  <si>
    <t xml:space="preserve">203.0.113.107</t>
  </si>
  <si>
    <t xml:space="preserve">NG-019 </t>
  </si>
  <si>
    <t xml:space="preserve">203.0.113.82</t>
  </si>
  <si>
    <t xml:space="preserve">198.51.100.215</t>
  </si>
  <si>
    <t xml:space="preserve">203.0.113.96</t>
  </si>
  <si>
    <t xml:space="preserve">203.0.113.172</t>
  </si>
  <si>
    <t xml:space="preserve">198.51.100.124</t>
  </si>
  <si>
    <t xml:space="preserve">203.0.113.181</t>
  </si>
  <si>
    <t xml:space="preserve">203.0.113.71</t>
  </si>
  <si>
    <t xml:space="preserve"> NG-037</t>
  </si>
  <si>
    <t xml:space="preserve">203.0.113.69</t>
  </si>
  <si>
    <t xml:space="preserve">198.51.100.199</t>
  </si>
  <si>
    <t xml:space="preserve">203.0.113.158</t>
  </si>
  <si>
    <t xml:space="preserve">203.0.113.99</t>
  </si>
  <si>
    <t xml:space="preserve">NG-002  </t>
  </si>
  <si>
    <t xml:space="preserve"> NG-002 </t>
  </si>
  <si>
    <t xml:space="preserve">198.51.100.156</t>
  </si>
  <si>
    <t xml:space="preserve">198.51.100.62</t>
  </si>
  <si>
    <t xml:space="preserve">203.0.113.177</t>
  </si>
  <si>
    <t xml:space="preserve">198.51.100.236</t>
  </si>
  <si>
    <t xml:space="preserve">198.51.100.211</t>
  </si>
  <si>
    <t xml:space="preserve">203.0.113.133</t>
  </si>
  <si>
    <t xml:space="preserve">198.51.100.217</t>
  </si>
  <si>
    <t xml:space="preserve">203.0.113.166</t>
  </si>
  <si>
    <t xml:space="preserve">203.0.113.61</t>
  </si>
  <si>
    <t xml:space="preserve"> NG-006 </t>
  </si>
  <si>
    <t xml:space="preserve">203.0.113.100</t>
  </si>
  <si>
    <t xml:space="preserve"> NG-040</t>
  </si>
  <si>
    <t xml:space="preserve">Loại mã độc</t>
  </si>
  <si>
    <t xml:space="preserve">Số sự kiện</t>
  </si>
  <si>
    <t xml:space="preserve">Tỷ lệ</t>
  </si>
  <si>
    <t xml:space="preserve">Chưa phân loại</t>
  </si>
  <si>
    <t xml:space="preserve">Tổng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</si>
</sst>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\ hh:mm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F3A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D9302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B1F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D93025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9.7" hidden="false" customHeight="false" outlineLevel="0" collapsed="false">
      <c r="A1" s="1" t="s">
        <v>0</v>
      </c>
    </row>
    <row r="3" customFormat="false" ht="43.5" hidden="false" customHeight="true" outlineLevel="0" collapsed="false">
      <c r="A3" s="2" t="s">
        <v>1</v>
      </c>
      <c r="B3" s="3" t="s">
        <v>2</v>
      </c>
    </row>
    <row r="4" customFormat="false" ht="43.5" hidden="false" customHeight="true" outlineLevel="0" collapsed="false">
      <c r="A4" s="2" t="s">
        <v>3</v>
      </c>
      <c r="B4" s="3" t="s">
        <v>4</v>
      </c>
    </row>
    <row r="5" customFormat="false" ht="43.5" hidden="false" customHeight="true" outlineLevel="0" collapsed="false">
      <c r="A5" s="2" t="s">
        <v>5</v>
      </c>
      <c r="B5" s="3" t="s">
        <v>6</v>
      </c>
    </row>
    <row r="6" customFormat="false" ht="43.5" hidden="false" customHeight="true" outlineLevel="0" collapsed="false">
      <c r="A6" s="2" t="s">
        <v>7</v>
      </c>
      <c r="B6" s="3" t="s">
        <v>8</v>
      </c>
    </row>
    <row r="7" customFormat="false" ht="43.5" hidden="false" customHeight="true" outlineLevel="0" collapsed="false">
      <c r="A7" s="2" t="s">
        <v>9</v>
      </c>
      <c r="B7" s="3" t="s">
        <v>10</v>
      </c>
    </row>
    <row r="8" customFormat="false" ht="43.5" hidden="false" customHeight="true" outlineLevel="0" collapsed="false">
      <c r="A8" s="2" t="s">
        <v>11</v>
      </c>
      <c r="B8" s="3" t="s">
        <v>12</v>
      </c>
    </row>
    <row r="9" customFormat="false" ht="43.5" hidden="false" customHeight="true" outlineLevel="0" collapsed="false">
      <c r="A9" s="2" t="s">
        <v>13</v>
      </c>
      <c r="B9" s="4" t="n">
        <f aca="false">COUNTIF(NhatKyHeThong!E2:E301,"Chưa phân loại")</f>
        <v>8</v>
      </c>
    </row>
    <row r="10" customFormat="false" ht="43.5" hidden="false" customHeight="true" outlineLevel="0" collapsed="false">
      <c r="A10" s="2" t="s">
        <v>14</v>
      </c>
      <c r="B10" s="3" t="s">
        <v>15</v>
      </c>
    </row>
    <row r="11" customFormat="false" ht="43.5" hidden="false" customHeight="true" outlineLevel="0" collapsed="false">
      <c r="A11" s="2" t="s">
        <v>16</v>
      </c>
      <c r="B11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27.75" hidden="false" customHeight="true" outlineLevel="0" collapsed="false">
      <c r="A1" s="5" t="s">
        <v>18</v>
      </c>
      <c r="B1" s="5" t="s">
        <v>19</v>
      </c>
      <c r="C1" s="5" t="s">
        <v>20</v>
      </c>
      <c r="D1" s="5" t="s">
        <v>21</v>
      </c>
    </row>
    <row r="2" customFormat="false" ht="15" hidden="false" customHeight="false" outlineLevel="0" collapsed="false">
      <c r="A2" s="6" t="s">
        <v>22</v>
      </c>
      <c r="B2" s="6" t="s">
        <v>23</v>
      </c>
      <c r="C2" s="6" t="s">
        <v>24</v>
      </c>
      <c r="D2" s="6" t="s">
        <v>25</v>
      </c>
    </row>
    <row r="3" customFormat="false" ht="15" hidden="false" customHeight="false" outlineLevel="0" collapsed="false">
      <c r="A3" s="6" t="s">
        <v>26</v>
      </c>
      <c r="B3" s="6" t="s">
        <v>27</v>
      </c>
      <c r="C3" s="6" t="s">
        <v>24</v>
      </c>
      <c r="D3" s="6" t="s">
        <v>25</v>
      </c>
    </row>
    <row r="4" customFormat="false" ht="15" hidden="false" customHeight="false" outlineLevel="0" collapsed="false">
      <c r="A4" s="6" t="s">
        <v>28</v>
      </c>
      <c r="B4" s="6" t="s">
        <v>29</v>
      </c>
      <c r="C4" s="6" t="s">
        <v>24</v>
      </c>
      <c r="D4" s="6" t="s">
        <v>25</v>
      </c>
    </row>
    <row r="5" customFormat="false" ht="15" hidden="false" customHeight="false" outlineLevel="0" collapsed="false">
      <c r="A5" s="6" t="s">
        <v>30</v>
      </c>
      <c r="B5" s="6" t="s">
        <v>31</v>
      </c>
      <c r="C5" s="6" t="s">
        <v>24</v>
      </c>
      <c r="D5" s="6" t="s">
        <v>32</v>
      </c>
    </row>
    <row r="6" customFormat="false" ht="15" hidden="false" customHeight="false" outlineLevel="0" collapsed="false">
      <c r="A6" s="6" t="s">
        <v>33</v>
      </c>
      <c r="B6" s="6" t="s">
        <v>34</v>
      </c>
      <c r="C6" s="6" t="s">
        <v>24</v>
      </c>
      <c r="D6" s="6" t="s">
        <v>32</v>
      </c>
    </row>
    <row r="7" customFormat="false" ht="15" hidden="false" customHeight="false" outlineLevel="0" collapsed="false">
      <c r="A7" s="6" t="s">
        <v>35</v>
      </c>
      <c r="B7" s="6" t="s">
        <v>36</v>
      </c>
      <c r="C7" s="6" t="s">
        <v>24</v>
      </c>
      <c r="D7" s="6" t="s">
        <v>32</v>
      </c>
    </row>
    <row r="8" customFormat="false" ht="15" hidden="false" customHeight="false" outlineLevel="0" collapsed="false">
      <c r="A8" s="6" t="s">
        <v>37</v>
      </c>
      <c r="B8" s="6" t="s">
        <v>38</v>
      </c>
      <c r="C8" s="6" t="s">
        <v>39</v>
      </c>
      <c r="D8" s="6" t="s">
        <v>32</v>
      </c>
    </row>
    <row r="9" customFormat="false" ht="15" hidden="false" customHeight="false" outlineLevel="0" collapsed="false">
      <c r="A9" s="6" t="s">
        <v>40</v>
      </c>
      <c r="B9" s="6" t="s">
        <v>41</v>
      </c>
      <c r="C9" s="6" t="s">
        <v>39</v>
      </c>
      <c r="D9" s="6" t="s">
        <v>32</v>
      </c>
    </row>
    <row r="10" customFormat="false" ht="15" hidden="false" customHeight="false" outlineLevel="0" collapsed="false">
      <c r="A10" s="6" t="s">
        <v>42</v>
      </c>
      <c r="B10" s="6" t="s">
        <v>43</v>
      </c>
      <c r="C10" s="6" t="s">
        <v>39</v>
      </c>
      <c r="D10" s="6" t="s">
        <v>44</v>
      </c>
    </row>
    <row r="11" customFormat="false" ht="15" hidden="false" customHeight="false" outlineLevel="0" collapsed="false">
      <c r="A11" s="6" t="s">
        <v>45</v>
      </c>
      <c r="B11" s="6" t="s">
        <v>46</v>
      </c>
      <c r="C11" s="6" t="s">
        <v>39</v>
      </c>
      <c r="D11" s="6" t="s">
        <v>25</v>
      </c>
    </row>
    <row r="12" customFormat="false" ht="15" hidden="false" customHeight="false" outlineLevel="0" collapsed="false">
      <c r="A12" s="6" t="s">
        <v>47</v>
      </c>
      <c r="B12" s="6" t="s">
        <v>48</v>
      </c>
      <c r="C12" s="6" t="s">
        <v>39</v>
      </c>
      <c r="D12" s="6" t="s">
        <v>44</v>
      </c>
    </row>
    <row r="13" customFormat="false" ht="15" hidden="false" customHeight="false" outlineLevel="0" collapsed="false">
      <c r="A13" s="6" t="s">
        <v>49</v>
      </c>
      <c r="B13" s="6" t="s">
        <v>50</v>
      </c>
      <c r="C13" s="6" t="s">
        <v>39</v>
      </c>
      <c r="D13" s="6" t="s">
        <v>32</v>
      </c>
    </row>
    <row r="14" customFormat="false" ht="15" hidden="false" customHeight="false" outlineLevel="0" collapsed="false">
      <c r="A14" s="6" t="s">
        <v>51</v>
      </c>
      <c r="B14" s="6" t="s">
        <v>52</v>
      </c>
      <c r="C14" s="6" t="s">
        <v>53</v>
      </c>
      <c r="D14" s="6" t="s">
        <v>32</v>
      </c>
    </row>
    <row r="15" customFormat="false" ht="15" hidden="false" customHeight="false" outlineLevel="0" collapsed="false">
      <c r="A15" s="6" t="s">
        <v>54</v>
      </c>
      <c r="B15" s="6" t="s">
        <v>55</v>
      </c>
      <c r="C15" s="6" t="s">
        <v>53</v>
      </c>
      <c r="D15" s="6" t="s">
        <v>44</v>
      </c>
    </row>
    <row r="16" customFormat="false" ht="15" hidden="false" customHeight="false" outlineLevel="0" collapsed="false">
      <c r="A16" s="6" t="s">
        <v>56</v>
      </c>
      <c r="B16" s="6" t="s">
        <v>57</v>
      </c>
      <c r="C16" s="6" t="s">
        <v>53</v>
      </c>
      <c r="D16" s="6" t="s">
        <v>44</v>
      </c>
    </row>
    <row r="17" customFormat="false" ht="15" hidden="false" customHeight="false" outlineLevel="0" collapsed="false">
      <c r="A17" s="6" t="s">
        <v>58</v>
      </c>
      <c r="B17" s="6" t="s">
        <v>59</v>
      </c>
      <c r="C17" s="6" t="s">
        <v>53</v>
      </c>
      <c r="D17" s="6" t="s">
        <v>32</v>
      </c>
    </row>
    <row r="18" customFormat="false" ht="15" hidden="false" customHeight="false" outlineLevel="0" collapsed="false">
      <c r="A18" s="6" t="s">
        <v>60</v>
      </c>
      <c r="B18" s="6" t="s">
        <v>61</v>
      </c>
      <c r="C18" s="6" t="s">
        <v>53</v>
      </c>
      <c r="D18" s="6" t="s">
        <v>62</v>
      </c>
    </row>
    <row r="19" customFormat="false" ht="15" hidden="false" customHeight="false" outlineLevel="0" collapsed="false">
      <c r="A19" s="6" t="s">
        <v>63</v>
      </c>
      <c r="B19" s="6" t="s">
        <v>64</v>
      </c>
      <c r="C19" s="6" t="s">
        <v>65</v>
      </c>
      <c r="D19" s="6" t="s">
        <v>44</v>
      </c>
    </row>
    <row r="20" customFormat="false" ht="15" hidden="false" customHeight="false" outlineLevel="0" collapsed="false">
      <c r="A20" s="6" t="s">
        <v>66</v>
      </c>
      <c r="B20" s="6" t="s">
        <v>67</v>
      </c>
      <c r="C20" s="6" t="s">
        <v>65</v>
      </c>
      <c r="D20" s="6" t="s">
        <v>32</v>
      </c>
    </row>
    <row r="21" customFormat="false" ht="15" hidden="false" customHeight="false" outlineLevel="0" collapsed="false">
      <c r="A21" s="6" t="s">
        <v>68</v>
      </c>
      <c r="B21" s="6" t="s">
        <v>69</v>
      </c>
      <c r="C21" s="6" t="s">
        <v>65</v>
      </c>
      <c r="D21" s="6" t="s">
        <v>62</v>
      </c>
    </row>
    <row r="22" customFormat="false" ht="15" hidden="false" customHeight="false" outlineLevel="0" collapsed="false">
      <c r="A22" s="6" t="s">
        <v>70</v>
      </c>
      <c r="B22" s="6" t="s">
        <v>71</v>
      </c>
      <c r="C22" s="6" t="s">
        <v>65</v>
      </c>
      <c r="D22" s="6" t="s">
        <v>44</v>
      </c>
    </row>
    <row r="23" customFormat="false" ht="15" hidden="false" customHeight="false" outlineLevel="0" collapsed="false">
      <c r="A23" s="6" t="s">
        <v>72</v>
      </c>
      <c r="B23" s="6" t="s">
        <v>73</v>
      </c>
      <c r="C23" s="6" t="s">
        <v>65</v>
      </c>
      <c r="D23" s="6" t="s">
        <v>62</v>
      </c>
    </row>
    <row r="24" customFormat="false" ht="15" hidden="false" customHeight="false" outlineLevel="0" collapsed="false">
      <c r="A24" s="6" t="s">
        <v>74</v>
      </c>
      <c r="B24" s="6" t="s">
        <v>75</v>
      </c>
      <c r="C24" s="6" t="s">
        <v>76</v>
      </c>
      <c r="D24" s="6" t="s">
        <v>32</v>
      </c>
    </row>
    <row r="25" customFormat="false" ht="15" hidden="false" customHeight="false" outlineLevel="0" collapsed="false">
      <c r="A25" s="6" t="s">
        <v>77</v>
      </c>
      <c r="B25" s="6" t="s">
        <v>78</v>
      </c>
      <c r="C25" s="6" t="s">
        <v>76</v>
      </c>
      <c r="D25" s="6" t="s">
        <v>44</v>
      </c>
    </row>
    <row r="26" customFormat="false" ht="15" hidden="false" customHeight="false" outlineLevel="0" collapsed="false">
      <c r="A26" s="6" t="s">
        <v>79</v>
      </c>
      <c r="B26" s="6" t="s">
        <v>80</v>
      </c>
      <c r="C26" s="6" t="s">
        <v>76</v>
      </c>
      <c r="D26" s="6" t="s">
        <v>32</v>
      </c>
    </row>
    <row r="27" customFormat="false" ht="15" hidden="false" customHeight="false" outlineLevel="0" collapsed="false">
      <c r="A27" s="6" t="s">
        <v>81</v>
      </c>
      <c r="B27" s="6" t="s">
        <v>82</v>
      </c>
      <c r="C27" s="6" t="s">
        <v>76</v>
      </c>
      <c r="D27" s="6" t="s">
        <v>44</v>
      </c>
    </row>
    <row r="28" customFormat="false" ht="15" hidden="false" customHeight="false" outlineLevel="0" collapsed="false">
      <c r="A28" s="6" t="s">
        <v>83</v>
      </c>
      <c r="B28" s="6" t="s">
        <v>84</v>
      </c>
      <c r="C28" s="6" t="s">
        <v>76</v>
      </c>
      <c r="D28" s="6" t="s">
        <v>62</v>
      </c>
    </row>
    <row r="29" customFormat="false" ht="15" hidden="false" customHeight="false" outlineLevel="0" collapsed="false">
      <c r="A29" s="6" t="s">
        <v>85</v>
      </c>
      <c r="B29" s="6" t="s">
        <v>86</v>
      </c>
      <c r="C29" s="6" t="s">
        <v>87</v>
      </c>
      <c r="D29" s="6" t="s">
        <v>62</v>
      </c>
    </row>
    <row r="30" customFormat="false" ht="15" hidden="false" customHeight="false" outlineLevel="0" collapsed="false">
      <c r="A30" s="6" t="s">
        <v>88</v>
      </c>
      <c r="B30" s="6" t="s">
        <v>89</v>
      </c>
      <c r="C30" s="6" t="s">
        <v>87</v>
      </c>
      <c r="D30" s="6" t="s">
        <v>44</v>
      </c>
    </row>
    <row r="31" customFormat="false" ht="15" hidden="false" customHeight="false" outlineLevel="0" collapsed="false">
      <c r="A31" s="6" t="s">
        <v>90</v>
      </c>
      <c r="B31" s="6" t="s">
        <v>91</v>
      </c>
      <c r="C31" s="6" t="s">
        <v>87</v>
      </c>
      <c r="D31" s="6" t="s">
        <v>62</v>
      </c>
    </row>
    <row r="32" customFormat="false" ht="15" hidden="false" customHeight="false" outlineLevel="0" collapsed="false">
      <c r="A32" s="6" t="s">
        <v>92</v>
      </c>
      <c r="B32" s="6" t="s">
        <v>93</v>
      </c>
      <c r="C32" s="6" t="s">
        <v>87</v>
      </c>
      <c r="D32" s="6" t="s">
        <v>44</v>
      </c>
    </row>
    <row r="33" customFormat="false" ht="15" hidden="false" customHeight="false" outlineLevel="0" collapsed="false">
      <c r="A33" s="6" t="s">
        <v>94</v>
      </c>
      <c r="B33" s="6" t="s">
        <v>95</v>
      </c>
      <c r="C33" s="6" t="s">
        <v>87</v>
      </c>
      <c r="D33" s="6" t="s">
        <v>62</v>
      </c>
    </row>
    <row r="34" customFormat="false" ht="15" hidden="false" customHeight="false" outlineLevel="0" collapsed="false">
      <c r="A34" s="6" t="s">
        <v>96</v>
      </c>
      <c r="B34" s="6" t="s">
        <v>97</v>
      </c>
      <c r="C34" s="6" t="s">
        <v>98</v>
      </c>
      <c r="D34" s="6" t="s">
        <v>32</v>
      </c>
    </row>
    <row r="35" customFormat="false" ht="15" hidden="false" customHeight="false" outlineLevel="0" collapsed="false">
      <c r="A35" s="6" t="s">
        <v>99</v>
      </c>
      <c r="B35" s="6" t="s">
        <v>100</v>
      </c>
      <c r="C35" s="6" t="s">
        <v>98</v>
      </c>
      <c r="D35" s="6" t="s">
        <v>44</v>
      </c>
    </row>
    <row r="36" customFormat="false" ht="15" hidden="false" customHeight="false" outlineLevel="0" collapsed="false">
      <c r="A36" s="6" t="s">
        <v>101</v>
      </c>
      <c r="B36" s="6" t="s">
        <v>102</v>
      </c>
      <c r="C36" s="6" t="s">
        <v>98</v>
      </c>
      <c r="D36" s="6" t="s">
        <v>32</v>
      </c>
    </row>
    <row r="37" customFormat="false" ht="15" hidden="false" customHeight="false" outlineLevel="0" collapsed="false">
      <c r="A37" s="6" t="s">
        <v>103</v>
      </c>
      <c r="B37" s="6" t="s">
        <v>104</v>
      </c>
      <c r="C37" s="6" t="s">
        <v>98</v>
      </c>
      <c r="D37" s="6" t="s">
        <v>44</v>
      </c>
    </row>
    <row r="38" customFormat="false" ht="15" hidden="false" customHeight="false" outlineLevel="0" collapsed="false">
      <c r="A38" s="6" t="s">
        <v>105</v>
      </c>
      <c r="B38" s="6" t="s">
        <v>106</v>
      </c>
      <c r="C38" s="6" t="s">
        <v>98</v>
      </c>
      <c r="D38" s="6" t="s">
        <v>62</v>
      </c>
    </row>
    <row r="39" customFormat="false" ht="15" hidden="false" customHeight="false" outlineLevel="0" collapsed="false">
      <c r="A39" s="6" t="s">
        <v>107</v>
      </c>
      <c r="B39" s="6" t="s">
        <v>108</v>
      </c>
      <c r="C39" s="6" t="s">
        <v>24</v>
      </c>
      <c r="D39" s="6" t="s">
        <v>25</v>
      </c>
    </row>
    <row r="40" customFormat="false" ht="15" hidden="false" customHeight="false" outlineLevel="0" collapsed="false">
      <c r="A40" s="6" t="s">
        <v>109</v>
      </c>
      <c r="B40" s="6" t="s">
        <v>110</v>
      </c>
      <c r="C40" s="6" t="s">
        <v>39</v>
      </c>
      <c r="D40" s="6" t="s">
        <v>44</v>
      </c>
    </row>
    <row r="41" customFormat="false" ht="15" hidden="false" customHeight="false" outlineLevel="0" collapsed="false">
      <c r="A41" s="6" t="s">
        <v>111</v>
      </c>
      <c r="B41" s="6" t="s">
        <v>112</v>
      </c>
      <c r="C41" s="6" t="s">
        <v>65</v>
      </c>
      <c r="D41" s="6" t="s">
        <v>32</v>
      </c>
    </row>
  </sheetData>
  <autoFilter ref="A1:D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5" min="4" style="0" width="18"/>
    <col collapsed="false" customWidth="true" hidden="false" outlineLevel="0" max="6" min="6" style="0" width="17"/>
    <col collapsed="false" customWidth="true" hidden="false" outlineLevel="0" max="7" min="7" style="0" width="15"/>
  </cols>
  <sheetData>
    <row r="1" customFormat="false" ht="27.75" hidden="false" customHeight="true" outlineLevel="0" collapsed="false">
      <c r="A1" s="5" t="s">
        <v>113</v>
      </c>
      <c r="B1" s="5" t="s">
        <v>114</v>
      </c>
      <c r="C1" s="5" t="s">
        <v>115</v>
      </c>
      <c r="D1" s="5" t="s">
        <v>116</v>
      </c>
      <c r="E1" s="5" t="s">
        <v>19</v>
      </c>
      <c r="F1" s="5" t="s">
        <v>20</v>
      </c>
      <c r="G1" s="5" t="s">
        <v>21</v>
      </c>
    </row>
    <row r="2" customFormat="false" ht="15" hidden="false" customHeight="false" outlineLevel="0" collapsed="false">
      <c r="A2" s="7" t="n">
        <v>46307.0104166667</v>
      </c>
      <c r="B2" s="6" t="s">
        <v>117</v>
      </c>
      <c r="C2" s="6" t="s">
        <v>118</v>
      </c>
      <c r="D2" s="6" t="s">
        <v>58</v>
      </c>
      <c r="E2" s="6" t="str">
        <f aca="false">IFERROR(VLOOKUP(TRIM(SUBSTITUTE($D2,_xlfn.UNICHAR(160)," ")),CSDL_Virus!$A$2:$D$41,2,FALSE()),"Chưa phân loại")</f>
        <v>BrightFuse</v>
      </c>
      <c r="F2" s="6" t="str">
        <f aca="false">IFERROR(VLOOKUP(TRIM(SUBSTITUTE($D2,_xlfn.UNICHAR(160)," ")),CSDL_Virus!$A$2:$D$41,3,FALSE()),"Chưa phân loại")</f>
        <v>Worm</v>
      </c>
      <c r="G2" s="6" t="str">
        <f aca="false">IFERROR(VLOOKUP(TRIM(SUBSTITUTE($D2,_xlfn.UNICHAR(160)," ")),CSDL_Virus!$A$2:$D$41,4,FALSE()),"Chưa phân loại")</f>
        <v>Cao</v>
      </c>
    </row>
    <row r="3" customFormat="false" ht="15" hidden="false" customHeight="false" outlineLevel="0" collapsed="false">
      <c r="A3" s="7" t="n">
        <v>46307.0118055556</v>
      </c>
      <c r="B3" s="6" t="s">
        <v>119</v>
      </c>
      <c r="C3" s="6" t="s">
        <v>120</v>
      </c>
      <c r="D3" s="6" t="s">
        <v>51</v>
      </c>
      <c r="E3" s="6" t="str">
        <f aca="false">IFERROR(VLOOKUP(TRIM(SUBSTITUTE($D3,_xlfn.UNICHAR(160)," ")),CSDL_Virus!$A$2:$D$41,2,FALSE()),"Chưa phân loại")</f>
        <v>RiverSpark</v>
      </c>
      <c r="F3" s="6" t="str">
        <f aca="false">IFERROR(VLOOKUP(TRIM(SUBSTITUTE($D3,_xlfn.UNICHAR(160)," ")),CSDL_Virus!$A$2:$D$41,3,FALSE()),"Chưa phân loại")</f>
        <v>Worm</v>
      </c>
      <c r="G3" s="6" t="str">
        <f aca="false">IFERROR(VLOOKUP(TRIM(SUBSTITUTE($D3,_xlfn.UNICHAR(160)," ")),CSDL_Virus!$A$2:$D$41,4,FALSE()),"Chưa phân loại")</f>
        <v>Cao</v>
      </c>
    </row>
    <row r="4" customFormat="false" ht="15" hidden="false" customHeight="false" outlineLevel="0" collapsed="false">
      <c r="A4" s="7" t="n">
        <v>46307.1041666667</v>
      </c>
      <c r="B4" s="6" t="s">
        <v>119</v>
      </c>
      <c r="C4" s="6" t="s">
        <v>121</v>
      </c>
      <c r="D4" s="6" t="s">
        <v>122</v>
      </c>
      <c r="E4" s="6" t="str">
        <f aca="false">IFERROR(VLOOKUP(TRIM(SUBSTITUTE($D4,_xlfn.UNICHAR(160)," ")),CSDL_Virus!$A$2:$D$41,2,FALSE()),"Chưa phân loại")</f>
        <v>BrightFuse</v>
      </c>
      <c r="F4" s="6" t="str">
        <f aca="false">IFERROR(VLOOKUP(TRIM(SUBSTITUTE($D4,_xlfn.UNICHAR(160)," ")),CSDL_Virus!$A$2:$D$41,3,FALSE()),"Chưa phân loại")</f>
        <v>Worm</v>
      </c>
      <c r="G4" s="6" t="str">
        <f aca="false">IFERROR(VLOOKUP(TRIM(SUBSTITUTE($D4,_xlfn.UNICHAR(160)," ")),CSDL_Virus!$A$2:$D$41,4,FALSE()),"Chưa phân loại")</f>
        <v>Cao</v>
      </c>
    </row>
    <row r="5" customFormat="false" ht="15" hidden="false" customHeight="false" outlineLevel="0" collapsed="false">
      <c r="A5" s="7" t="n">
        <v>46307.2173611111</v>
      </c>
      <c r="B5" s="6" t="s">
        <v>119</v>
      </c>
      <c r="C5" s="6" t="s">
        <v>123</v>
      </c>
      <c r="D5" s="6" t="s">
        <v>26</v>
      </c>
      <c r="E5" s="6" t="str">
        <f aca="false">IFERROR(VLOOKUP(TRIM(SUBSTITUTE($D5,_xlfn.UNICHAR(160)," ")),CSDL_Virus!$A$2:$D$41,2,FALSE()),"Chưa phân loại")</f>
        <v>CrimsonLoop</v>
      </c>
      <c r="F5" s="6" t="str">
        <f aca="false">IFERROR(VLOOKUP(TRIM(SUBSTITUTE($D5,_xlfn.UNICHAR(160)," ")),CSDL_Virus!$A$2:$D$41,3,FALSE()),"Chưa phân loại")</f>
        <v>Ransomware</v>
      </c>
      <c r="G5" s="6" t="str">
        <f aca="false">IFERROR(VLOOKUP(TRIM(SUBSTITUTE($D5,_xlfn.UNICHAR(160)," ")),CSDL_Virus!$A$2:$D$41,4,FALSE()),"Chưa phân loại")</f>
        <v>Nghiêm trọng</v>
      </c>
    </row>
    <row r="6" customFormat="false" ht="15" hidden="false" customHeight="false" outlineLevel="0" collapsed="false">
      <c r="A6" s="7" t="n">
        <v>46307.2486111111</v>
      </c>
      <c r="B6" s="6" t="s">
        <v>124</v>
      </c>
      <c r="C6" s="6" t="s">
        <v>125</v>
      </c>
      <c r="D6" s="6" t="s">
        <v>126</v>
      </c>
      <c r="E6" s="6" t="str">
        <f aca="false">IFERROR(VLOOKUP(TRIM(SUBSTITUTE($D6,_xlfn.UNICHAR(160)," ")),CSDL_Virus!$A$2:$D$41,2,FALSE()),"Chưa phân loại")</f>
        <v>AmberRig</v>
      </c>
      <c r="F6" s="6" t="str">
        <f aca="false">IFERROR(VLOOKUP(TRIM(SUBSTITUTE($D6,_xlfn.UNICHAR(160)," ")),CSDL_Virus!$A$2:$D$41,3,FALSE()),"Chưa phân loại")</f>
        <v>Cryptominer</v>
      </c>
      <c r="G6" s="6" t="str">
        <f aca="false">IFERROR(VLOOKUP(TRIM(SUBSTITUTE($D6,_xlfn.UNICHAR(160)," ")),CSDL_Virus!$A$2:$D$41,4,FALSE()),"Chưa phân loại")</f>
        <v>Thấp</v>
      </c>
    </row>
    <row r="7" customFormat="false" ht="15" hidden="false" customHeight="false" outlineLevel="0" collapsed="false">
      <c r="A7" s="7" t="n">
        <v>46307.2569444445</v>
      </c>
      <c r="B7" s="6" t="s">
        <v>127</v>
      </c>
      <c r="C7" s="6" t="s">
        <v>128</v>
      </c>
      <c r="D7" s="6" t="s">
        <v>22</v>
      </c>
      <c r="E7" s="6" t="str">
        <f aca="false">IFERROR(VLOOKUP(TRIM(SUBSTITUTE($D7,_xlfn.UNICHAR(160)," ")),CSDL_Virus!$A$2:$D$41,2,FALSE()),"Chưa phân loại")</f>
        <v>LockBay</v>
      </c>
      <c r="F7" s="6" t="str">
        <f aca="false">IFERROR(VLOOKUP(TRIM(SUBSTITUTE($D7,_xlfn.UNICHAR(160)," ")),CSDL_Virus!$A$2:$D$41,3,FALSE()),"Chưa phân loại")</f>
        <v>Ransomware</v>
      </c>
      <c r="G7" s="6" t="str">
        <f aca="false">IFERROR(VLOOKUP(TRIM(SUBSTITUTE($D7,_xlfn.UNICHAR(160)," ")),CSDL_Virus!$A$2:$D$41,4,FALSE()),"Chưa phân loại")</f>
        <v>Nghiêm trọng</v>
      </c>
    </row>
    <row r="8" customFormat="false" ht="15" hidden="false" customHeight="false" outlineLevel="0" collapsed="false">
      <c r="A8" s="7" t="n">
        <v>46307.2826388889</v>
      </c>
      <c r="B8" s="6" t="s">
        <v>127</v>
      </c>
      <c r="C8" s="6" t="s">
        <v>129</v>
      </c>
      <c r="D8" s="6" t="s">
        <v>96</v>
      </c>
      <c r="E8" s="6" t="str">
        <f aca="false">IFERROR(VLOOKUP(TRIM(SUBSTITUTE($D8,_xlfn.UNICHAR(160)," ")),CSDL_Virus!$A$2:$D$41,2,FALSE()),"Chưa phân loại")</f>
        <v>BaitCrate</v>
      </c>
      <c r="F8" s="6" t="str">
        <f aca="false">IFERROR(VLOOKUP(TRIM(SUBSTITUTE($D8,_xlfn.UNICHAR(160)," ")),CSDL_Virus!$A$2:$D$41,3,FALSE()),"Chưa phân loại")</f>
        <v>Phishing kit</v>
      </c>
      <c r="G8" s="6" t="str">
        <f aca="false">IFERROR(VLOOKUP(TRIM(SUBSTITUTE($D8,_xlfn.UNICHAR(160)," ")),CSDL_Virus!$A$2:$D$41,4,FALSE()),"Chưa phân loại")</f>
        <v>Cao</v>
      </c>
    </row>
    <row r="9" customFormat="false" ht="15" hidden="false" customHeight="false" outlineLevel="0" collapsed="false">
      <c r="A9" s="7" t="n">
        <v>46307.3305555556</v>
      </c>
      <c r="B9" s="6" t="s">
        <v>127</v>
      </c>
      <c r="C9" s="6" t="s">
        <v>130</v>
      </c>
      <c r="D9" s="6" t="s">
        <v>77</v>
      </c>
      <c r="E9" s="6" t="str">
        <f aca="false">IFERROR(VLOOKUP(TRIM(SUBSTITUTE($D9,_xlfn.UNICHAR(160)," ")),CSDL_Virus!$A$2:$D$41,2,FALSE()),"Chưa phân loại")</f>
        <v>HiveNote</v>
      </c>
      <c r="F9" s="6" t="str">
        <f aca="false">IFERROR(VLOOKUP(TRIM(SUBSTITUTE($D9,_xlfn.UNICHAR(160)," ")),CSDL_Virus!$A$2:$D$41,3,FALSE()),"Chưa phân loại")</f>
        <v>Botnet</v>
      </c>
      <c r="G9" s="6" t="str">
        <f aca="false">IFERROR(VLOOKUP(TRIM(SUBSTITUTE($D9,_xlfn.UNICHAR(160)," ")),CSDL_Virus!$A$2:$D$41,4,FALSE()),"Chưa phân loại")</f>
        <v>Trung bình</v>
      </c>
    </row>
    <row r="10" customFormat="false" ht="15" hidden="false" customHeight="false" outlineLevel="0" collapsed="false">
      <c r="A10" s="7" t="n">
        <v>46307.3409722222</v>
      </c>
      <c r="B10" s="6" t="s">
        <v>124</v>
      </c>
      <c r="C10" s="6" t="s">
        <v>131</v>
      </c>
      <c r="D10" s="6" t="s">
        <v>81</v>
      </c>
      <c r="E10" s="6" t="str">
        <f aca="false">IFERROR(VLOOKUP(TRIM(SUBSTITUTE($D10,_xlfn.UNICHAR(160)," ")),CSDL_Virus!$A$2:$D$41,2,FALSE()),"Chưa phân loại")</f>
        <v>StormHerd</v>
      </c>
      <c r="F10" s="6" t="str">
        <f aca="false">IFERROR(VLOOKUP(TRIM(SUBSTITUTE($D10,_xlfn.UNICHAR(160)," ")),CSDL_Virus!$A$2:$D$41,3,FALSE()),"Chưa phân loại")</f>
        <v>Botnet</v>
      </c>
      <c r="G10" s="6" t="str">
        <f aca="false">IFERROR(VLOOKUP(TRIM(SUBSTITUTE($D10,_xlfn.UNICHAR(160)," ")),CSDL_Virus!$A$2:$D$41,4,FALSE()),"Chưa phân loại")</f>
        <v>Trung bình</v>
      </c>
    </row>
    <row r="11" customFormat="false" ht="15" hidden="false" customHeight="false" outlineLevel="0" collapsed="false">
      <c r="A11" s="7" t="n">
        <v>46307.3444444445</v>
      </c>
      <c r="B11" s="6" t="s">
        <v>132</v>
      </c>
      <c r="C11" s="6" t="s">
        <v>133</v>
      </c>
      <c r="D11" s="6" t="s">
        <v>134</v>
      </c>
      <c r="E11" s="6" t="str">
        <f aca="false">IFERROR(VLOOKUP(TRIM(SUBSTITUTE($D11,_xlfn.UNICHAR(160)," ")),CSDL_Virus!$A$2:$D$41,2,FALSE()),"Chưa phân loại")</f>
        <v>CoinMoth</v>
      </c>
      <c r="F11" s="6" t="str">
        <f aca="false">IFERROR(VLOOKUP(TRIM(SUBSTITUTE($D11,_xlfn.UNICHAR(160)," ")),CSDL_Virus!$A$2:$D$41,3,FALSE()),"Chưa phân loại")</f>
        <v>Cryptominer</v>
      </c>
      <c r="G11" s="6" t="str">
        <f aca="false">IFERROR(VLOOKUP(TRIM(SUBSTITUTE($D11,_xlfn.UNICHAR(160)," ")),CSDL_Virus!$A$2:$D$41,4,FALSE()),"Chưa phân loại")</f>
        <v>Thấp</v>
      </c>
    </row>
    <row r="12" customFormat="false" ht="15" hidden="false" customHeight="false" outlineLevel="0" collapsed="false">
      <c r="A12" s="7" t="n">
        <v>46307.3527777778</v>
      </c>
      <c r="B12" s="6" t="s">
        <v>132</v>
      </c>
      <c r="C12" s="6" t="s">
        <v>135</v>
      </c>
      <c r="D12" s="6" t="s">
        <v>26</v>
      </c>
      <c r="E12" s="6" t="str">
        <f aca="false">IFERROR(VLOOKUP(TRIM(SUBSTITUTE($D12,_xlfn.UNICHAR(160)," ")),CSDL_Virus!$A$2:$D$41,2,FALSE()),"Chưa phân loại")</f>
        <v>CrimsonLoop</v>
      </c>
      <c r="F12" s="6" t="str">
        <f aca="false">IFERROR(VLOOKUP(TRIM(SUBSTITUTE($D12,_xlfn.UNICHAR(160)," ")),CSDL_Virus!$A$2:$D$41,3,FALSE()),"Chưa phân loại")</f>
        <v>Ransomware</v>
      </c>
      <c r="G12" s="6" t="str">
        <f aca="false">IFERROR(VLOOKUP(TRIM(SUBSTITUTE($D12,_xlfn.UNICHAR(160)," ")),CSDL_Virus!$A$2:$D$41,4,FALSE()),"Chưa phân loại")</f>
        <v>Nghiêm trọng</v>
      </c>
    </row>
    <row r="13" customFormat="false" ht="15" hidden="false" customHeight="false" outlineLevel="0" collapsed="false">
      <c r="A13" s="7" t="n">
        <v>46307.3770833333</v>
      </c>
      <c r="B13" s="6" t="s">
        <v>132</v>
      </c>
      <c r="C13" s="6" t="s">
        <v>136</v>
      </c>
      <c r="D13" s="6" t="s">
        <v>107</v>
      </c>
      <c r="E13" s="6" t="str">
        <f aca="false">IFERROR(VLOOKUP(TRIM(SUBSTITUTE($D13,_xlfn.UNICHAR(160)," ")),CSDL_Virus!$A$2:$D$41,2,FALSE()),"Chưa phân loại")</f>
        <v>DeepAnchor</v>
      </c>
      <c r="F13" s="6" t="str">
        <f aca="false">IFERROR(VLOOKUP(TRIM(SUBSTITUTE($D13,_xlfn.UNICHAR(160)," ")),CSDL_Virus!$A$2:$D$41,3,FALSE()),"Chưa phân loại")</f>
        <v>Ransomware</v>
      </c>
      <c r="G13" s="6" t="str">
        <f aca="false">IFERROR(VLOOKUP(TRIM(SUBSTITUTE($D13,_xlfn.UNICHAR(160)," ")),CSDL_Virus!$A$2:$D$41,4,FALSE()),"Chưa phân loại")</f>
        <v>Nghiêm trọng</v>
      </c>
    </row>
    <row r="14" customFormat="false" ht="15" hidden="false" customHeight="false" outlineLevel="0" collapsed="false">
      <c r="A14" s="7" t="n">
        <v>46307.3840277778</v>
      </c>
      <c r="B14" s="6" t="s">
        <v>117</v>
      </c>
      <c r="C14" s="6" t="s">
        <v>137</v>
      </c>
      <c r="D14" s="6" t="s">
        <v>138</v>
      </c>
      <c r="E14" s="6" t="str">
        <f aca="false">IFERROR(VLOOKUP(TRIM(SUBSTITUTE($D14,_xlfn.UNICHAR(160)," ")),CSDL_Virus!$A$2:$D$41,2,FALSE()),"Chưa phân loại")</f>
        <v>SilkLure</v>
      </c>
      <c r="F14" s="6" t="str">
        <f aca="false">IFERROR(VLOOKUP(TRIM(SUBSTITUTE($D14,_xlfn.UNICHAR(160)," ")),CSDL_Virus!$A$2:$D$41,3,FALSE()),"Chưa phân loại")</f>
        <v>Phishing kit</v>
      </c>
      <c r="G14" s="6" t="str">
        <f aca="false">IFERROR(VLOOKUP(TRIM(SUBSTITUTE($D14,_xlfn.UNICHAR(160)," ")),CSDL_Virus!$A$2:$D$41,4,FALSE()),"Chưa phân loại")</f>
        <v>Thấp</v>
      </c>
    </row>
    <row r="15" customFormat="false" ht="15" hidden="false" customHeight="false" outlineLevel="0" collapsed="false">
      <c r="A15" s="7" t="n">
        <v>46307.4069444445</v>
      </c>
      <c r="B15" s="6" t="s">
        <v>139</v>
      </c>
      <c r="C15" s="6" t="s">
        <v>140</v>
      </c>
      <c r="D15" s="6" t="s">
        <v>35</v>
      </c>
      <c r="E15" s="6" t="str">
        <f aca="false">IFERROR(VLOOKUP(TRIM(SUBSTITUTE($D15,_xlfn.UNICHAR(160)," ")),CSDL_Virus!$A$2:$D$41,2,FALSE()),"Chưa phân loại")</f>
        <v>GrimSeal</v>
      </c>
      <c r="F15" s="6" t="str">
        <f aca="false">IFERROR(VLOOKUP(TRIM(SUBSTITUTE($D15,_xlfn.UNICHAR(160)," ")),CSDL_Virus!$A$2:$D$41,3,FALSE()),"Chưa phân loại")</f>
        <v>Ransomware</v>
      </c>
      <c r="G15" s="6" t="str">
        <f aca="false">IFERROR(VLOOKUP(TRIM(SUBSTITUTE($D15,_xlfn.UNICHAR(160)," ")),CSDL_Virus!$A$2:$D$41,4,FALSE()),"Chưa phân loại")</f>
        <v>Cao</v>
      </c>
    </row>
    <row r="16" customFormat="false" ht="15" hidden="false" customHeight="false" outlineLevel="0" collapsed="false">
      <c r="A16" s="7" t="n">
        <v>46307.4465277778</v>
      </c>
      <c r="B16" s="6" t="s">
        <v>141</v>
      </c>
      <c r="C16" s="6" t="s">
        <v>142</v>
      </c>
      <c r="D16" s="6" t="s">
        <v>70</v>
      </c>
      <c r="E16" s="6" t="str">
        <f aca="false">IFERROR(VLOOKUP(TRIM(SUBSTITUTE($D16,_xlfn.UNICHAR(160)," ")),CSDL_Virus!$A$2:$D$41,2,FALSE()),"Chưa phân loại")</f>
        <v>MoonScribe</v>
      </c>
      <c r="F16" s="6" t="str">
        <f aca="false">IFERROR(VLOOKUP(TRIM(SUBSTITUTE($D16,_xlfn.UNICHAR(160)," ")),CSDL_Virus!$A$2:$D$41,3,FALSE()),"Chưa phân loại")</f>
        <v>Spyware</v>
      </c>
      <c r="G16" s="6" t="str">
        <f aca="false">IFERROR(VLOOKUP(TRIM(SUBSTITUTE($D16,_xlfn.UNICHAR(160)," ")),CSDL_Virus!$A$2:$D$41,4,FALSE()),"Chưa phân loại")</f>
        <v>Trung bình</v>
      </c>
    </row>
    <row r="17" customFormat="false" ht="15" hidden="false" customHeight="false" outlineLevel="0" collapsed="false">
      <c r="A17" s="7" t="n">
        <v>46307.4833333333</v>
      </c>
      <c r="B17" s="6" t="s">
        <v>124</v>
      </c>
      <c r="C17" s="6" t="s">
        <v>143</v>
      </c>
      <c r="D17" s="6" t="s">
        <v>79</v>
      </c>
      <c r="E17" s="6" t="str">
        <f aca="false">IFERROR(VLOOKUP(TRIM(SUBSTITUTE($D17,_xlfn.UNICHAR(160)," ")),CSDL_Virus!$A$2:$D$41,2,FALSE()),"Chưa phân loại")</f>
        <v>DuskRelay</v>
      </c>
      <c r="F17" s="6" t="str">
        <f aca="false">IFERROR(VLOOKUP(TRIM(SUBSTITUTE($D17,_xlfn.UNICHAR(160)," ")),CSDL_Virus!$A$2:$D$41,3,FALSE()),"Chưa phân loại")</f>
        <v>Botnet</v>
      </c>
      <c r="G17" s="6" t="str">
        <f aca="false">IFERROR(VLOOKUP(TRIM(SUBSTITUTE($D17,_xlfn.UNICHAR(160)," ")),CSDL_Virus!$A$2:$D$41,4,FALSE()),"Chưa phân loại")</f>
        <v>Cao</v>
      </c>
    </row>
    <row r="18" customFormat="false" ht="15" hidden="false" customHeight="false" outlineLevel="0" collapsed="false">
      <c r="A18" s="7" t="n">
        <v>46307.5069444445</v>
      </c>
      <c r="B18" s="6" t="s">
        <v>141</v>
      </c>
      <c r="C18" s="6" t="s">
        <v>144</v>
      </c>
      <c r="D18" s="6" t="s">
        <v>105</v>
      </c>
      <c r="E18" s="6" t="str">
        <f aca="false">IFERROR(VLOOKUP(TRIM(SUBSTITUTE($D18,_xlfn.UNICHAR(160)," ")),CSDL_Virus!$A$2:$D$41,2,FALSE()),"Chưa phân loại")</f>
        <v>SilkLure</v>
      </c>
      <c r="F18" s="6" t="str">
        <f aca="false">IFERROR(VLOOKUP(TRIM(SUBSTITUTE($D18,_xlfn.UNICHAR(160)," ")),CSDL_Virus!$A$2:$D$41,3,FALSE()),"Chưa phân loại")</f>
        <v>Phishing kit</v>
      </c>
      <c r="G18" s="6" t="str">
        <f aca="false">IFERROR(VLOOKUP(TRIM(SUBSTITUTE($D18,_xlfn.UNICHAR(160)," ")),CSDL_Virus!$A$2:$D$41,4,FALSE()),"Chưa phân loại")</f>
        <v>Thấp</v>
      </c>
    </row>
    <row r="19" customFormat="false" ht="15" hidden="false" customHeight="false" outlineLevel="0" collapsed="false">
      <c r="A19" s="7" t="n">
        <v>46307.6763888889</v>
      </c>
      <c r="B19" s="6" t="s">
        <v>127</v>
      </c>
      <c r="C19" s="6" t="s">
        <v>145</v>
      </c>
      <c r="D19" s="6" t="s">
        <v>146</v>
      </c>
      <c r="E19" s="6" t="str">
        <f aca="false">IFERROR(VLOOKUP(TRIM(SUBSTITUTE($D19,_xlfn.UNICHAR(160)," ")),CSDL_Virus!$A$2:$D$41,2,FALSE()),"Chưa phân loại")</f>
        <v>Chưa phân loại</v>
      </c>
      <c r="F19" s="6" t="str">
        <f aca="false">IFERROR(VLOOKUP(TRIM(SUBSTITUTE($D19,_xlfn.UNICHAR(160)," ")),CSDL_Virus!$A$2:$D$41,3,FALSE()),"Chưa phân loại")</f>
        <v>Chưa phân loại</v>
      </c>
      <c r="G19" s="6" t="str">
        <f aca="false">IFERROR(VLOOKUP(TRIM(SUBSTITUTE($D19,_xlfn.UNICHAR(160)," ")),CSDL_Virus!$A$2:$D$41,4,FALSE()),"Chưa phân loại")</f>
        <v>Chưa phân loại</v>
      </c>
    </row>
    <row r="20" customFormat="false" ht="15" hidden="false" customHeight="false" outlineLevel="0" collapsed="false">
      <c r="A20" s="7" t="n">
        <v>46307.6777777778</v>
      </c>
      <c r="B20" s="6" t="s">
        <v>141</v>
      </c>
      <c r="C20" s="6" t="s">
        <v>147</v>
      </c>
      <c r="D20" s="6" t="s">
        <v>26</v>
      </c>
      <c r="E20" s="6" t="str">
        <f aca="false">IFERROR(VLOOKUP(TRIM(SUBSTITUTE($D20,_xlfn.UNICHAR(160)," ")),CSDL_Virus!$A$2:$D$41,2,FALSE()),"Chưa phân loại")</f>
        <v>CrimsonLoop</v>
      </c>
      <c r="F20" s="6" t="str">
        <f aca="false">IFERROR(VLOOKUP(TRIM(SUBSTITUTE($D20,_xlfn.UNICHAR(160)," ")),CSDL_Virus!$A$2:$D$41,3,FALSE()),"Chưa phân loại")</f>
        <v>Ransomware</v>
      </c>
      <c r="G20" s="6" t="str">
        <f aca="false">IFERROR(VLOOKUP(TRIM(SUBSTITUTE($D20,_xlfn.UNICHAR(160)," ")),CSDL_Virus!$A$2:$D$41,4,FALSE()),"Chưa phân loại")</f>
        <v>Nghiêm trọng</v>
      </c>
    </row>
    <row r="21" customFormat="false" ht="15" hidden="false" customHeight="false" outlineLevel="0" collapsed="false">
      <c r="A21" s="7" t="n">
        <v>46307.6840277778</v>
      </c>
      <c r="B21" s="6" t="s">
        <v>127</v>
      </c>
      <c r="C21" s="6" t="s">
        <v>148</v>
      </c>
      <c r="D21" s="6" t="s">
        <v>149</v>
      </c>
      <c r="E21" s="6" t="str">
        <f aca="false">IFERROR(VLOOKUP(TRIM(SUBSTITUTE($D21,_xlfn.UNICHAR(160)," ")),CSDL_Virus!$A$2:$D$41,2,FALSE()),"Chưa phân loại")</f>
        <v>TideRoot</v>
      </c>
      <c r="F21" s="6" t="str">
        <f aca="false">IFERROR(VLOOKUP(TRIM(SUBSTITUTE($D21,_xlfn.UNICHAR(160)," ")),CSDL_Virus!$A$2:$D$41,3,FALSE()),"Chưa phân loại")</f>
        <v>Worm</v>
      </c>
      <c r="G21" s="6" t="str">
        <f aca="false">IFERROR(VLOOKUP(TRIM(SUBSTITUTE($D21,_xlfn.UNICHAR(160)," ")),CSDL_Virus!$A$2:$D$41,4,FALSE()),"Chưa phân loại")</f>
        <v>Thấp</v>
      </c>
    </row>
    <row r="22" customFormat="false" ht="15" hidden="false" customHeight="false" outlineLevel="0" collapsed="false">
      <c r="A22" s="7" t="n">
        <v>46307.6881944445</v>
      </c>
      <c r="B22" s="6" t="s">
        <v>127</v>
      </c>
      <c r="C22" s="6" t="s">
        <v>150</v>
      </c>
      <c r="D22" s="6" t="s">
        <v>35</v>
      </c>
      <c r="E22" s="6" t="str">
        <f aca="false">IFERROR(VLOOKUP(TRIM(SUBSTITUTE($D22,_xlfn.UNICHAR(160)," ")),CSDL_Virus!$A$2:$D$41,2,FALSE()),"Chưa phân loại")</f>
        <v>GrimSeal</v>
      </c>
      <c r="F22" s="6" t="str">
        <f aca="false">IFERROR(VLOOKUP(TRIM(SUBSTITUTE($D22,_xlfn.UNICHAR(160)," ")),CSDL_Virus!$A$2:$D$41,3,FALSE()),"Chưa phân loại")</f>
        <v>Ransomware</v>
      </c>
      <c r="G22" s="6" t="str">
        <f aca="false">IFERROR(VLOOKUP(TRIM(SUBSTITUTE($D22,_xlfn.UNICHAR(160)," ")),CSDL_Virus!$A$2:$D$41,4,FALSE()),"Chưa phân loại")</f>
        <v>Cao</v>
      </c>
    </row>
    <row r="23" customFormat="false" ht="15" hidden="false" customHeight="false" outlineLevel="0" collapsed="false">
      <c r="A23" s="7" t="n">
        <v>46307.7631944444</v>
      </c>
      <c r="B23" s="6" t="s">
        <v>117</v>
      </c>
      <c r="C23" s="6" t="s">
        <v>151</v>
      </c>
      <c r="D23" s="6" t="s">
        <v>111</v>
      </c>
      <c r="E23" s="6" t="str">
        <f aca="false">IFERROR(VLOOKUP(TRIM(SUBSTITUTE($D23,_xlfn.UNICHAR(160)," ")),CSDL_Virus!$A$2:$D$41,2,FALSE()),"Chưa phân loại")</f>
        <v>AshMirror</v>
      </c>
      <c r="F23" s="6" t="str">
        <f aca="false">IFERROR(VLOOKUP(TRIM(SUBSTITUTE($D23,_xlfn.UNICHAR(160)," ")),CSDL_Virus!$A$2:$D$41,3,FALSE()),"Chưa phân loại")</f>
        <v>Spyware</v>
      </c>
      <c r="G23" s="6" t="str">
        <f aca="false">IFERROR(VLOOKUP(TRIM(SUBSTITUTE($D23,_xlfn.UNICHAR(160)," ")),CSDL_Virus!$A$2:$D$41,4,FALSE()),"Chưa phân loại")</f>
        <v>Cao</v>
      </c>
    </row>
    <row r="24" customFormat="false" ht="15" hidden="false" customHeight="false" outlineLevel="0" collapsed="false">
      <c r="A24" s="7" t="n">
        <v>46307.7979166667</v>
      </c>
      <c r="B24" s="6" t="s">
        <v>139</v>
      </c>
      <c r="C24" s="6" t="s">
        <v>152</v>
      </c>
      <c r="D24" s="6" t="s">
        <v>72</v>
      </c>
      <c r="E24" s="6" t="str">
        <f aca="false">IFERROR(VLOOKUP(TRIM(SUBSTITUTE($D24,_xlfn.UNICHAR(160)," ")),CSDL_Virus!$A$2:$D$41,2,FALSE()),"Chưa phân loại")</f>
        <v>PaperOwl</v>
      </c>
      <c r="F24" s="6" t="str">
        <f aca="false">IFERROR(VLOOKUP(TRIM(SUBSTITUTE($D24,_xlfn.UNICHAR(160)," ")),CSDL_Virus!$A$2:$D$41,3,FALSE()),"Chưa phân loại")</f>
        <v>Spyware</v>
      </c>
      <c r="G24" s="6" t="str">
        <f aca="false">IFERROR(VLOOKUP(TRIM(SUBSTITUTE($D24,_xlfn.UNICHAR(160)," ")),CSDL_Virus!$A$2:$D$41,4,FALSE()),"Chưa phân loại")</f>
        <v>Thấp</v>
      </c>
    </row>
    <row r="25" customFormat="false" ht="15" hidden="false" customHeight="false" outlineLevel="0" collapsed="false">
      <c r="A25" s="7" t="n">
        <v>46307.8111111111</v>
      </c>
      <c r="B25" s="6" t="s">
        <v>139</v>
      </c>
      <c r="C25" s="6" t="s">
        <v>153</v>
      </c>
      <c r="D25" s="6" t="s">
        <v>68</v>
      </c>
      <c r="E25" s="6" t="str">
        <f aca="false">IFERROR(VLOOKUP(TRIM(SUBSTITUTE($D25,_xlfn.UNICHAR(160)," ")),CSDL_Virus!$A$2:$D$41,2,FALSE()),"Chưa phân loại")</f>
        <v>LintWatch</v>
      </c>
      <c r="F25" s="6" t="str">
        <f aca="false">IFERROR(VLOOKUP(TRIM(SUBSTITUTE($D25,_xlfn.UNICHAR(160)," ")),CSDL_Virus!$A$2:$D$41,3,FALSE()),"Chưa phân loại")</f>
        <v>Spyware</v>
      </c>
      <c r="G25" s="6" t="str">
        <f aca="false">IFERROR(VLOOKUP(TRIM(SUBSTITUTE($D25,_xlfn.UNICHAR(160)," ")),CSDL_Virus!$A$2:$D$41,4,FALSE()),"Chưa phân loại")</f>
        <v>Thấp</v>
      </c>
    </row>
    <row r="26" customFormat="false" ht="15" hidden="false" customHeight="false" outlineLevel="0" collapsed="false">
      <c r="A26" s="7" t="n">
        <v>46307.8805555556</v>
      </c>
      <c r="B26" s="6" t="s">
        <v>141</v>
      </c>
      <c r="C26" s="6" t="s">
        <v>154</v>
      </c>
      <c r="D26" s="6" t="s">
        <v>99</v>
      </c>
      <c r="E26" s="6" t="str">
        <f aca="false">IFERROR(VLOOKUP(TRIM(SUBSTITUTE($D26,_xlfn.UNICHAR(160)," ")),CSDL_Virus!$A$2:$D$41,2,FALSE()),"Chưa phân loại")</f>
        <v>FakeDawn</v>
      </c>
      <c r="F26" s="6" t="str">
        <f aca="false">IFERROR(VLOOKUP(TRIM(SUBSTITUTE($D26,_xlfn.UNICHAR(160)," ")),CSDL_Virus!$A$2:$D$41,3,FALSE()),"Chưa phân loại")</f>
        <v>Phishing kit</v>
      </c>
      <c r="G26" s="6" t="str">
        <f aca="false">IFERROR(VLOOKUP(TRIM(SUBSTITUTE($D26,_xlfn.UNICHAR(160)," ")),CSDL_Virus!$A$2:$D$41,4,FALSE()),"Chưa phân loại")</f>
        <v>Trung bình</v>
      </c>
    </row>
    <row r="27" customFormat="false" ht="15" hidden="false" customHeight="false" outlineLevel="0" collapsed="false">
      <c r="A27" s="7" t="n">
        <v>46307.9229166667</v>
      </c>
      <c r="B27" s="6" t="s">
        <v>127</v>
      </c>
      <c r="C27" s="6" t="s">
        <v>155</v>
      </c>
      <c r="D27" s="6" t="s">
        <v>109</v>
      </c>
      <c r="E27" s="6" t="str">
        <f aca="false">IFERROR(VLOOKUP(TRIM(SUBSTITUTE($D27,_xlfn.UNICHAR(160)," ")),CSDL_Virus!$A$2:$D$41,2,FALSE()),"Chưa phân loại")</f>
        <v>RustyHinge</v>
      </c>
      <c r="F27" s="6" t="str">
        <f aca="false">IFERROR(VLOOKUP(TRIM(SUBSTITUTE($D27,_xlfn.UNICHAR(160)," ")),CSDL_Virus!$A$2:$D$41,3,FALSE()),"Chưa phân loại")</f>
        <v>Trojan</v>
      </c>
      <c r="G27" s="6" t="str">
        <f aca="false">IFERROR(VLOOKUP(TRIM(SUBSTITUTE($D27,_xlfn.UNICHAR(160)," ")),CSDL_Virus!$A$2:$D$41,4,FALSE()),"Chưa phân loại")</f>
        <v>Trung bình</v>
      </c>
    </row>
    <row r="28" customFormat="false" ht="15" hidden="false" customHeight="false" outlineLevel="0" collapsed="false">
      <c r="A28" s="7" t="n">
        <v>46307.9527777778</v>
      </c>
      <c r="B28" s="6" t="s">
        <v>117</v>
      </c>
      <c r="C28" s="6" t="s">
        <v>156</v>
      </c>
      <c r="D28" s="6" t="s">
        <v>111</v>
      </c>
      <c r="E28" s="6" t="str">
        <f aca="false">IFERROR(VLOOKUP(TRIM(SUBSTITUTE($D28,_xlfn.UNICHAR(160)," ")),CSDL_Virus!$A$2:$D$41,2,FALSE()),"Chưa phân loại")</f>
        <v>AshMirror</v>
      </c>
      <c r="F28" s="6" t="str">
        <f aca="false">IFERROR(VLOOKUP(TRIM(SUBSTITUTE($D28,_xlfn.UNICHAR(160)," ")),CSDL_Virus!$A$2:$D$41,3,FALSE()),"Chưa phân loại")</f>
        <v>Spyware</v>
      </c>
      <c r="G28" s="6" t="str">
        <f aca="false">IFERROR(VLOOKUP(TRIM(SUBSTITUTE($D28,_xlfn.UNICHAR(160)," ")),CSDL_Virus!$A$2:$D$41,4,FALSE()),"Chưa phân loại")</f>
        <v>Cao</v>
      </c>
    </row>
    <row r="29" customFormat="false" ht="15" hidden="false" customHeight="false" outlineLevel="0" collapsed="false">
      <c r="A29" s="7" t="n">
        <v>46307.9576388889</v>
      </c>
      <c r="B29" s="6" t="s">
        <v>139</v>
      </c>
      <c r="C29" s="6" t="s">
        <v>157</v>
      </c>
      <c r="D29" s="6" t="s">
        <v>66</v>
      </c>
      <c r="E29" s="6" t="str">
        <f aca="false">IFERROR(VLOOKUP(TRIM(SUBSTITUTE($D29,_xlfn.UNICHAR(160)," ")),CSDL_Virus!$A$2:$D$41,2,FALSE()),"Chưa phân loại")</f>
        <v>GlassTap</v>
      </c>
      <c r="F29" s="6" t="str">
        <f aca="false">IFERROR(VLOOKUP(TRIM(SUBSTITUTE($D29,_xlfn.UNICHAR(160)," ")),CSDL_Virus!$A$2:$D$41,3,FALSE()),"Chưa phân loại")</f>
        <v>Spyware</v>
      </c>
      <c r="G29" s="6" t="str">
        <f aca="false">IFERROR(VLOOKUP(TRIM(SUBSTITUTE($D29,_xlfn.UNICHAR(160)," ")),CSDL_Virus!$A$2:$D$41,4,FALSE()),"Chưa phân loại")</f>
        <v>Cao</v>
      </c>
    </row>
    <row r="30" customFormat="false" ht="15" hidden="false" customHeight="false" outlineLevel="0" collapsed="false">
      <c r="A30" s="7" t="n">
        <v>46308.0118055556</v>
      </c>
      <c r="B30" s="6" t="s">
        <v>119</v>
      </c>
      <c r="C30" s="6" t="s">
        <v>158</v>
      </c>
      <c r="D30" s="6" t="s">
        <v>111</v>
      </c>
      <c r="E30" s="6" t="str">
        <f aca="false">IFERROR(VLOOKUP(TRIM(SUBSTITUTE($D30,_xlfn.UNICHAR(160)," ")),CSDL_Virus!$A$2:$D$41,2,FALSE()),"Chưa phân loại")</f>
        <v>AshMirror</v>
      </c>
      <c r="F30" s="6" t="str">
        <f aca="false">IFERROR(VLOOKUP(TRIM(SUBSTITUTE($D30,_xlfn.UNICHAR(160)," ")),CSDL_Virus!$A$2:$D$41,3,FALSE()),"Chưa phân loại")</f>
        <v>Spyware</v>
      </c>
      <c r="G30" s="6" t="str">
        <f aca="false">IFERROR(VLOOKUP(TRIM(SUBSTITUTE($D30,_xlfn.UNICHAR(160)," ")),CSDL_Virus!$A$2:$D$41,4,FALSE()),"Chưa phân loại")</f>
        <v>Cao</v>
      </c>
    </row>
    <row r="31" customFormat="false" ht="15" hidden="false" customHeight="false" outlineLevel="0" collapsed="false">
      <c r="A31" s="7" t="n">
        <v>46308.0597222222</v>
      </c>
      <c r="B31" s="6" t="s">
        <v>139</v>
      </c>
      <c r="C31" s="6" t="s">
        <v>159</v>
      </c>
      <c r="D31" s="6" t="s">
        <v>160</v>
      </c>
      <c r="E31" s="6" t="str">
        <f aca="false">IFERROR(VLOOKUP(TRIM(SUBSTITUTE($D31,_xlfn.UNICHAR(160)," ")),CSDL_Virus!$A$2:$D$41,2,FALSE()),"Chưa phân loại")</f>
        <v>AshCrypt</v>
      </c>
      <c r="F31" s="6" t="str">
        <f aca="false">IFERROR(VLOOKUP(TRIM(SUBSTITUTE($D31,_xlfn.UNICHAR(160)," ")),CSDL_Virus!$A$2:$D$41,3,FALSE()),"Chưa phân loại")</f>
        <v>Ransomware</v>
      </c>
      <c r="G31" s="6" t="str">
        <f aca="false">IFERROR(VLOOKUP(TRIM(SUBSTITUTE($D31,_xlfn.UNICHAR(160)," ")),CSDL_Virus!$A$2:$D$41,4,FALSE()),"Chưa phân loại")</f>
        <v>Cao</v>
      </c>
    </row>
    <row r="32" customFormat="false" ht="15" hidden="false" customHeight="false" outlineLevel="0" collapsed="false">
      <c r="A32" s="7" t="n">
        <v>46308.0784722222</v>
      </c>
      <c r="B32" s="6" t="s">
        <v>124</v>
      </c>
      <c r="C32" s="6" t="s">
        <v>161</v>
      </c>
      <c r="D32" s="6" t="s">
        <v>58</v>
      </c>
      <c r="E32" s="6" t="str">
        <f aca="false">IFERROR(VLOOKUP(TRIM(SUBSTITUTE($D32,_xlfn.UNICHAR(160)," ")),CSDL_Virus!$A$2:$D$41,2,FALSE()),"Chưa phân loại")</f>
        <v>BrightFuse</v>
      </c>
      <c r="F32" s="6" t="str">
        <f aca="false">IFERROR(VLOOKUP(TRIM(SUBSTITUTE($D32,_xlfn.UNICHAR(160)," ")),CSDL_Virus!$A$2:$D$41,3,FALSE()),"Chưa phân loại")</f>
        <v>Worm</v>
      </c>
      <c r="G32" s="6" t="str">
        <f aca="false">IFERROR(VLOOKUP(TRIM(SUBSTITUTE($D32,_xlfn.UNICHAR(160)," ")),CSDL_Virus!$A$2:$D$41,4,FALSE()),"Chưa phân loại")</f>
        <v>Cao</v>
      </c>
    </row>
    <row r="33" customFormat="false" ht="15" hidden="false" customHeight="false" outlineLevel="0" collapsed="false">
      <c r="A33" s="7" t="n">
        <v>46308.1902777778</v>
      </c>
      <c r="B33" s="6" t="s">
        <v>141</v>
      </c>
      <c r="C33" s="6" t="s">
        <v>162</v>
      </c>
      <c r="D33" s="6" t="s">
        <v>163</v>
      </c>
      <c r="E33" s="6" t="str">
        <f aca="false">IFERROR(VLOOKUP(TRIM(SUBSTITUTE($D33,_xlfn.UNICHAR(160)," ")),CSDL_Virus!$A$2:$D$41,2,FALSE()),"Chưa phân loại")</f>
        <v>BrightFuse</v>
      </c>
      <c r="F33" s="6" t="str">
        <f aca="false">IFERROR(VLOOKUP(TRIM(SUBSTITUTE($D33,_xlfn.UNICHAR(160)," ")),CSDL_Virus!$A$2:$D$41,3,FALSE()),"Chưa phân loại")</f>
        <v>Worm</v>
      </c>
      <c r="G33" s="6" t="str">
        <f aca="false">IFERROR(VLOOKUP(TRIM(SUBSTITUTE($D33,_xlfn.UNICHAR(160)," ")),CSDL_Virus!$A$2:$D$41,4,FALSE()),"Chưa phân loại")</f>
        <v>Cao</v>
      </c>
    </row>
    <row r="34" customFormat="false" ht="15" hidden="false" customHeight="false" outlineLevel="0" collapsed="false">
      <c r="A34" s="7" t="n">
        <v>46308.3548611111</v>
      </c>
      <c r="B34" s="6" t="s">
        <v>141</v>
      </c>
      <c r="C34" s="6" t="s">
        <v>164</v>
      </c>
      <c r="D34" s="6" t="s">
        <v>30</v>
      </c>
      <c r="E34" s="6" t="str">
        <f aca="false">IFERROR(VLOOKUP(TRIM(SUBSTITUTE($D34,_xlfn.UNICHAR(160)," ")),CSDL_Virus!$A$2:$D$41,2,FALSE()),"Chưa phân loại")</f>
        <v>AshCrypt</v>
      </c>
      <c r="F34" s="6" t="str">
        <f aca="false">IFERROR(VLOOKUP(TRIM(SUBSTITUTE($D34,_xlfn.UNICHAR(160)," ")),CSDL_Virus!$A$2:$D$41,3,FALSE()),"Chưa phân loại")</f>
        <v>Ransomware</v>
      </c>
      <c r="G34" s="6" t="str">
        <f aca="false">IFERROR(VLOOKUP(TRIM(SUBSTITUTE($D34,_xlfn.UNICHAR(160)," ")),CSDL_Virus!$A$2:$D$41,4,FALSE()),"Chưa phân loại")</f>
        <v>Cao</v>
      </c>
    </row>
    <row r="35" customFormat="false" ht="15" hidden="false" customHeight="false" outlineLevel="0" collapsed="false">
      <c r="A35" s="7" t="n">
        <v>46308.3625</v>
      </c>
      <c r="B35" s="6" t="s">
        <v>124</v>
      </c>
      <c r="C35" s="6" t="s">
        <v>165</v>
      </c>
      <c r="D35" s="6" t="s">
        <v>166</v>
      </c>
      <c r="E35" s="6" t="str">
        <f aca="false">IFERROR(VLOOKUP(TRIM(SUBSTITUTE($D35,_xlfn.UNICHAR(160)," ")),CSDL_Virus!$A$2:$D$41,2,FALSE()),"Chưa phân loại")</f>
        <v>AshCrypt</v>
      </c>
      <c r="F35" s="6" t="str">
        <f aca="false">IFERROR(VLOOKUP(TRIM(SUBSTITUTE($D35,_xlfn.UNICHAR(160)," ")),CSDL_Virus!$A$2:$D$41,3,FALSE()),"Chưa phân loại")</f>
        <v>Ransomware</v>
      </c>
      <c r="G35" s="6" t="str">
        <f aca="false">IFERROR(VLOOKUP(TRIM(SUBSTITUTE($D35,_xlfn.UNICHAR(160)," ")),CSDL_Virus!$A$2:$D$41,4,FALSE()),"Chưa phân loại")</f>
        <v>Cao</v>
      </c>
    </row>
    <row r="36" customFormat="false" ht="15" hidden="false" customHeight="false" outlineLevel="0" collapsed="false">
      <c r="A36" s="7" t="n">
        <v>46308.3756944445</v>
      </c>
      <c r="B36" s="6" t="s">
        <v>141</v>
      </c>
      <c r="C36" s="6" t="s">
        <v>167</v>
      </c>
      <c r="D36" s="6" t="s">
        <v>168</v>
      </c>
      <c r="E36" s="6" t="str">
        <f aca="false">IFERROR(VLOOKUP(TRIM(SUBSTITUTE($D36,_xlfn.UNICHAR(160)," ")),CSDL_Virus!$A$2:$D$41,2,FALSE()),"Chưa phân loại")</f>
        <v>NullLatch</v>
      </c>
      <c r="F36" s="6" t="str">
        <f aca="false">IFERROR(VLOOKUP(TRIM(SUBSTITUTE($D36,_xlfn.UNICHAR(160)," ")),CSDL_Virus!$A$2:$D$41,3,FALSE()),"Chưa phân loại")</f>
        <v>Ransomware</v>
      </c>
      <c r="G36" s="6" t="str">
        <f aca="false">IFERROR(VLOOKUP(TRIM(SUBSTITUTE($D36,_xlfn.UNICHAR(160)," ")),CSDL_Virus!$A$2:$D$41,4,FALSE()),"Chưa phân loại")</f>
        <v>Cao</v>
      </c>
    </row>
    <row r="37" customFormat="false" ht="15" hidden="false" customHeight="false" outlineLevel="0" collapsed="false">
      <c r="A37" s="7" t="n">
        <v>46308.4368055556</v>
      </c>
      <c r="B37" s="6" t="s">
        <v>119</v>
      </c>
      <c r="C37" s="6" t="s">
        <v>169</v>
      </c>
      <c r="D37" s="6" t="s">
        <v>40</v>
      </c>
      <c r="E37" s="6" t="str">
        <f aca="false">IFERROR(VLOOKUP(TRIM(SUBSTITUTE($D37,_xlfn.UNICHAR(160)," ")),CSDL_Virus!$A$2:$D$41,2,FALSE()),"Chưa phân loại")</f>
        <v>HollowDoor</v>
      </c>
      <c r="F37" s="6" t="str">
        <f aca="false">IFERROR(VLOOKUP(TRIM(SUBSTITUTE($D37,_xlfn.UNICHAR(160)," ")),CSDL_Virus!$A$2:$D$41,3,FALSE()),"Chưa phân loại")</f>
        <v>Trojan</v>
      </c>
      <c r="G37" s="6" t="str">
        <f aca="false">IFERROR(VLOOKUP(TRIM(SUBSTITUTE($D37,_xlfn.UNICHAR(160)," ")),CSDL_Virus!$A$2:$D$41,4,FALSE()),"Chưa phân loại")</f>
        <v>Cao</v>
      </c>
    </row>
    <row r="38" customFormat="false" ht="15" hidden="false" customHeight="false" outlineLevel="0" collapsed="false">
      <c r="A38" s="7" t="n">
        <v>46308.4590277778</v>
      </c>
      <c r="B38" s="6" t="s">
        <v>124</v>
      </c>
      <c r="C38" s="6" t="s">
        <v>120</v>
      </c>
      <c r="D38" s="6" t="s">
        <v>30</v>
      </c>
      <c r="E38" s="6" t="str">
        <f aca="false">IFERROR(VLOOKUP(TRIM(SUBSTITUTE($D38,_xlfn.UNICHAR(160)," ")),CSDL_Virus!$A$2:$D$41,2,FALSE()),"Chưa phân loại")</f>
        <v>AshCrypt</v>
      </c>
      <c r="F38" s="6" t="str">
        <f aca="false">IFERROR(VLOOKUP(TRIM(SUBSTITUTE($D38,_xlfn.UNICHAR(160)," ")),CSDL_Virus!$A$2:$D$41,3,FALSE()),"Chưa phân loại")</f>
        <v>Ransomware</v>
      </c>
      <c r="G38" s="6" t="str">
        <f aca="false">IFERROR(VLOOKUP(TRIM(SUBSTITUTE($D38,_xlfn.UNICHAR(160)," ")),CSDL_Virus!$A$2:$D$41,4,FALSE()),"Chưa phân loại")</f>
        <v>Cao</v>
      </c>
    </row>
    <row r="39" customFormat="false" ht="15" hidden="false" customHeight="false" outlineLevel="0" collapsed="false">
      <c r="A39" s="7" t="n">
        <v>46308.5201388889</v>
      </c>
      <c r="B39" s="6" t="s">
        <v>119</v>
      </c>
      <c r="C39" s="6" t="s">
        <v>140</v>
      </c>
      <c r="D39" s="6" t="s">
        <v>83</v>
      </c>
      <c r="E39" s="6" t="str">
        <f aca="false">IFERROR(VLOOKUP(TRIM(SUBSTITUTE($D39,_xlfn.UNICHAR(160)," ")),CSDL_Virus!$A$2:$D$41,2,FALSE()),"Chưa phân loại")</f>
        <v>GreyChain</v>
      </c>
      <c r="F39" s="6" t="str">
        <f aca="false">IFERROR(VLOOKUP(TRIM(SUBSTITUTE($D39,_xlfn.UNICHAR(160)," ")),CSDL_Virus!$A$2:$D$41,3,FALSE()),"Chưa phân loại")</f>
        <v>Botnet</v>
      </c>
      <c r="G39" s="6" t="str">
        <f aca="false">IFERROR(VLOOKUP(TRIM(SUBSTITUTE($D39,_xlfn.UNICHAR(160)," ")),CSDL_Virus!$A$2:$D$41,4,FALSE()),"Chưa phân loại")</f>
        <v>Thấp</v>
      </c>
    </row>
    <row r="40" customFormat="false" ht="15" hidden="false" customHeight="false" outlineLevel="0" collapsed="false">
      <c r="A40" s="7" t="n">
        <v>46308.5305555556</v>
      </c>
      <c r="B40" s="6" t="s">
        <v>124</v>
      </c>
      <c r="C40" s="6" t="s">
        <v>170</v>
      </c>
      <c r="D40" s="6" t="s">
        <v>54</v>
      </c>
      <c r="E40" s="6" t="str">
        <f aca="false">IFERROR(VLOOKUP(TRIM(SUBSTITUTE($D40,_xlfn.UNICHAR(160)," ")),CSDL_Virus!$A$2:$D$41,2,FALSE()),"Chưa phân loại")</f>
        <v>LongCrawl</v>
      </c>
      <c r="F40" s="6" t="str">
        <f aca="false">IFERROR(VLOOKUP(TRIM(SUBSTITUTE($D40,_xlfn.UNICHAR(160)," ")),CSDL_Virus!$A$2:$D$41,3,FALSE()),"Chưa phân loại")</f>
        <v>Worm</v>
      </c>
      <c r="G40" s="6" t="str">
        <f aca="false">IFERROR(VLOOKUP(TRIM(SUBSTITUTE($D40,_xlfn.UNICHAR(160)," ")),CSDL_Virus!$A$2:$D$41,4,FALSE()),"Chưa phân loại")</f>
        <v>Trung bình</v>
      </c>
    </row>
    <row r="41" customFormat="false" ht="15" hidden="false" customHeight="false" outlineLevel="0" collapsed="false">
      <c r="A41" s="7" t="n">
        <v>46308.5645833333</v>
      </c>
      <c r="B41" s="6" t="s">
        <v>124</v>
      </c>
      <c r="C41" s="6" t="s">
        <v>171</v>
      </c>
      <c r="D41" s="6" t="s">
        <v>101</v>
      </c>
      <c r="E41" s="6" t="str">
        <f aca="false">IFERROR(VLOOKUP(TRIM(SUBSTITUTE($D41,_xlfn.UNICHAR(160)," ")),CSDL_Virus!$A$2:$D$41,2,FALSE()),"Chưa phân loại")</f>
        <v>HookLedger</v>
      </c>
      <c r="F41" s="6" t="str">
        <f aca="false">IFERROR(VLOOKUP(TRIM(SUBSTITUTE($D41,_xlfn.UNICHAR(160)," ")),CSDL_Virus!$A$2:$D$41,3,FALSE()),"Chưa phân loại")</f>
        <v>Phishing kit</v>
      </c>
      <c r="G41" s="6" t="str">
        <f aca="false">IFERROR(VLOOKUP(TRIM(SUBSTITUTE($D41,_xlfn.UNICHAR(160)," ")),CSDL_Virus!$A$2:$D$41,4,FALSE()),"Chưa phân loại")</f>
        <v>Cao</v>
      </c>
    </row>
    <row r="42" customFormat="false" ht="15" hidden="false" customHeight="false" outlineLevel="0" collapsed="false">
      <c r="A42" s="7" t="n">
        <v>46308.5736111111</v>
      </c>
      <c r="B42" s="6" t="s">
        <v>172</v>
      </c>
      <c r="C42" s="6" t="s">
        <v>173</v>
      </c>
      <c r="D42" s="6" t="s">
        <v>101</v>
      </c>
      <c r="E42" s="6" t="str">
        <f aca="false">IFERROR(VLOOKUP(TRIM(SUBSTITUTE($D42,_xlfn.UNICHAR(160)," ")),CSDL_Virus!$A$2:$D$41,2,FALSE()),"Chưa phân loại")</f>
        <v>HookLedger</v>
      </c>
      <c r="F42" s="6" t="str">
        <f aca="false">IFERROR(VLOOKUP(TRIM(SUBSTITUTE($D42,_xlfn.UNICHAR(160)," ")),CSDL_Virus!$A$2:$D$41,3,FALSE()),"Chưa phân loại")</f>
        <v>Phishing kit</v>
      </c>
      <c r="G42" s="6" t="str">
        <f aca="false">IFERROR(VLOOKUP(TRIM(SUBSTITUTE($D42,_xlfn.UNICHAR(160)," ")),CSDL_Virus!$A$2:$D$41,4,FALSE()),"Chưa phân loại")</f>
        <v>Cao</v>
      </c>
    </row>
    <row r="43" customFormat="false" ht="15" hidden="false" customHeight="false" outlineLevel="0" collapsed="false">
      <c r="A43" s="7" t="n">
        <v>46308.5979166667</v>
      </c>
      <c r="B43" s="6" t="s">
        <v>119</v>
      </c>
      <c r="C43" s="6" t="s">
        <v>174</v>
      </c>
      <c r="D43" s="6" t="s">
        <v>77</v>
      </c>
      <c r="E43" s="6" t="str">
        <f aca="false">IFERROR(VLOOKUP(TRIM(SUBSTITUTE($D43,_xlfn.UNICHAR(160)," ")),CSDL_Virus!$A$2:$D$41,2,FALSE()),"Chưa phân loại")</f>
        <v>HiveNote</v>
      </c>
      <c r="F43" s="6" t="str">
        <f aca="false">IFERROR(VLOOKUP(TRIM(SUBSTITUTE($D43,_xlfn.UNICHAR(160)," ")),CSDL_Virus!$A$2:$D$41,3,FALSE()),"Chưa phân loại")</f>
        <v>Botnet</v>
      </c>
      <c r="G43" s="6" t="str">
        <f aca="false">IFERROR(VLOOKUP(TRIM(SUBSTITUTE($D43,_xlfn.UNICHAR(160)," ")),CSDL_Virus!$A$2:$D$41,4,FALSE()),"Chưa phân loại")</f>
        <v>Trung bình</v>
      </c>
    </row>
    <row r="44" customFormat="false" ht="15" hidden="false" customHeight="false" outlineLevel="0" collapsed="false">
      <c r="A44" s="7" t="n">
        <v>46308.64375</v>
      </c>
      <c r="B44" s="6" t="s">
        <v>124</v>
      </c>
      <c r="C44" s="6" t="s">
        <v>128</v>
      </c>
      <c r="D44" s="6" t="s">
        <v>45</v>
      </c>
      <c r="E44" s="6" t="str">
        <f aca="false">IFERROR(VLOOKUP(TRIM(SUBSTITUTE($D44,_xlfn.UNICHAR(160)," ")),CSDL_Virus!$A$2:$D$41,2,FALSE()),"Chưa phân loại")</f>
        <v>DriftKey</v>
      </c>
      <c r="F44" s="6" t="str">
        <f aca="false">IFERROR(VLOOKUP(TRIM(SUBSTITUTE($D44,_xlfn.UNICHAR(160)," ")),CSDL_Virus!$A$2:$D$41,3,FALSE()),"Chưa phân loại")</f>
        <v>Trojan</v>
      </c>
      <c r="G44" s="6" t="str">
        <f aca="false">IFERROR(VLOOKUP(TRIM(SUBSTITUTE($D44,_xlfn.UNICHAR(160)," ")),CSDL_Virus!$A$2:$D$41,4,FALSE()),"Chưa phân loại")</f>
        <v>Nghiêm trọng</v>
      </c>
    </row>
    <row r="45" customFormat="false" ht="15" hidden="false" customHeight="false" outlineLevel="0" collapsed="false">
      <c r="A45" s="7" t="n">
        <v>46308.6479166667</v>
      </c>
      <c r="B45" s="6" t="s">
        <v>127</v>
      </c>
      <c r="C45" s="6" t="s">
        <v>175</v>
      </c>
      <c r="D45" s="6" t="s">
        <v>176</v>
      </c>
      <c r="E45" s="6" t="str">
        <f aca="false">IFERROR(VLOOKUP(TRIM(SUBSTITUTE($D45,_xlfn.UNICHAR(160)," ")),CSDL_Virus!$A$2:$D$41,2,FALSE()),"Chưa phân loại")</f>
        <v>MirrorPage</v>
      </c>
      <c r="F45" s="6" t="str">
        <f aca="false">IFERROR(VLOOKUP(TRIM(SUBSTITUTE($D45,_xlfn.UNICHAR(160)," ")),CSDL_Virus!$A$2:$D$41,3,FALSE()),"Chưa phân loại")</f>
        <v>Phishing kit</v>
      </c>
      <c r="G45" s="6" t="str">
        <f aca="false">IFERROR(VLOOKUP(TRIM(SUBSTITUTE($D45,_xlfn.UNICHAR(160)," ")),CSDL_Virus!$A$2:$D$41,4,FALSE()),"Chưa phân loại")</f>
        <v>Trung bình</v>
      </c>
    </row>
    <row r="46" customFormat="false" ht="15" hidden="false" customHeight="false" outlineLevel="0" collapsed="false">
      <c r="A46" s="7" t="n">
        <v>46308.6618055556</v>
      </c>
      <c r="B46" s="6" t="s">
        <v>141</v>
      </c>
      <c r="C46" s="6" t="s">
        <v>177</v>
      </c>
      <c r="D46" s="6" t="s">
        <v>178</v>
      </c>
      <c r="E46" s="6" t="str">
        <f aca="false">IFERROR(VLOOKUP(TRIM(SUBSTITUTE($D46,_xlfn.UNICHAR(160)," ")),CSDL_Virus!$A$2:$D$41,2,FALSE()),"Chưa phân loại")</f>
        <v>HollowDoor</v>
      </c>
      <c r="F46" s="6" t="str">
        <f aca="false">IFERROR(VLOOKUP(TRIM(SUBSTITUTE($D46,_xlfn.UNICHAR(160)," ")),CSDL_Virus!$A$2:$D$41,3,FALSE()),"Chưa phân loại")</f>
        <v>Trojan</v>
      </c>
      <c r="G46" s="6" t="str">
        <f aca="false">IFERROR(VLOOKUP(TRIM(SUBSTITUTE($D46,_xlfn.UNICHAR(160)," ")),CSDL_Virus!$A$2:$D$41,4,FALSE()),"Chưa phân loại")</f>
        <v>Cao</v>
      </c>
    </row>
    <row r="47" customFormat="false" ht="15" hidden="false" customHeight="false" outlineLevel="0" collapsed="false">
      <c r="A47" s="7" t="n">
        <v>46308.6701388889</v>
      </c>
      <c r="B47" s="6" t="s">
        <v>119</v>
      </c>
      <c r="C47" s="6" t="s">
        <v>177</v>
      </c>
      <c r="D47" s="6" t="s">
        <v>77</v>
      </c>
      <c r="E47" s="6" t="str">
        <f aca="false">IFERROR(VLOOKUP(TRIM(SUBSTITUTE($D47,_xlfn.UNICHAR(160)," ")),CSDL_Virus!$A$2:$D$41,2,FALSE()),"Chưa phân loại")</f>
        <v>HiveNote</v>
      </c>
      <c r="F47" s="6" t="str">
        <f aca="false">IFERROR(VLOOKUP(TRIM(SUBSTITUTE($D47,_xlfn.UNICHAR(160)," ")),CSDL_Virus!$A$2:$D$41,3,FALSE()),"Chưa phân loại")</f>
        <v>Botnet</v>
      </c>
      <c r="G47" s="6" t="str">
        <f aca="false">IFERROR(VLOOKUP(TRIM(SUBSTITUTE($D47,_xlfn.UNICHAR(160)," ")),CSDL_Virus!$A$2:$D$41,4,FALSE()),"Chưa phân loại")</f>
        <v>Trung bình</v>
      </c>
    </row>
    <row r="48" customFormat="false" ht="15" hidden="false" customHeight="false" outlineLevel="0" collapsed="false">
      <c r="A48" s="7" t="n">
        <v>46308.6868055556</v>
      </c>
      <c r="B48" s="6" t="s">
        <v>132</v>
      </c>
      <c r="C48" s="6" t="s">
        <v>179</v>
      </c>
      <c r="D48" s="6" t="s">
        <v>81</v>
      </c>
      <c r="E48" s="6" t="str">
        <f aca="false">IFERROR(VLOOKUP(TRIM(SUBSTITUTE($D48,_xlfn.UNICHAR(160)," ")),CSDL_Virus!$A$2:$D$41,2,FALSE()),"Chưa phân loại")</f>
        <v>StormHerd</v>
      </c>
      <c r="F48" s="6" t="str">
        <f aca="false">IFERROR(VLOOKUP(TRIM(SUBSTITUTE($D48,_xlfn.UNICHAR(160)," ")),CSDL_Virus!$A$2:$D$41,3,FALSE()),"Chưa phân loại")</f>
        <v>Botnet</v>
      </c>
      <c r="G48" s="6" t="str">
        <f aca="false">IFERROR(VLOOKUP(TRIM(SUBSTITUTE($D48,_xlfn.UNICHAR(160)," ")),CSDL_Virus!$A$2:$D$41,4,FALSE()),"Chưa phân loại")</f>
        <v>Trung bình</v>
      </c>
    </row>
    <row r="49" customFormat="false" ht="15" hidden="false" customHeight="false" outlineLevel="0" collapsed="false">
      <c r="A49" s="7" t="n">
        <v>46308.6902777778</v>
      </c>
      <c r="B49" s="6" t="s">
        <v>127</v>
      </c>
      <c r="C49" s="6" t="s">
        <v>180</v>
      </c>
      <c r="D49" s="6" t="s">
        <v>63</v>
      </c>
      <c r="E49" s="6" t="str">
        <f aca="false">IFERROR(VLOOKUP(TRIM(SUBSTITUTE($D49,_xlfn.UNICHAR(160)," ")),CSDL_Virus!$A$2:$D$41,2,FALSE()),"Chưa phân loại")</f>
        <v>QuietEye</v>
      </c>
      <c r="F49" s="6" t="str">
        <f aca="false">IFERROR(VLOOKUP(TRIM(SUBSTITUTE($D49,_xlfn.UNICHAR(160)," ")),CSDL_Virus!$A$2:$D$41,3,FALSE()),"Chưa phân loại")</f>
        <v>Spyware</v>
      </c>
      <c r="G49" s="6" t="str">
        <f aca="false">IFERROR(VLOOKUP(TRIM(SUBSTITUTE($D49,_xlfn.UNICHAR(160)," ")),CSDL_Virus!$A$2:$D$41,4,FALSE()),"Chưa phân loại")</f>
        <v>Trung bình</v>
      </c>
    </row>
    <row r="50" customFormat="false" ht="15" hidden="false" customHeight="false" outlineLevel="0" collapsed="false">
      <c r="A50" s="7" t="n">
        <v>46308.7027777778</v>
      </c>
      <c r="B50" s="6" t="s">
        <v>124</v>
      </c>
      <c r="C50" s="6" t="s">
        <v>181</v>
      </c>
      <c r="D50" s="6" t="s">
        <v>182</v>
      </c>
      <c r="E50" s="6" t="str">
        <f aca="false">IFERROR(VLOOKUP(TRIM(SUBSTITUTE($D50,_xlfn.UNICHAR(160)," ")),CSDL_Virus!$A$2:$D$41,2,FALSE()),"Chưa phân loại")</f>
        <v>TideRoot</v>
      </c>
      <c r="F50" s="6" t="str">
        <f aca="false">IFERROR(VLOOKUP(TRIM(SUBSTITUTE($D50,_xlfn.UNICHAR(160)," ")),CSDL_Virus!$A$2:$D$41,3,FALSE()),"Chưa phân loại")</f>
        <v>Worm</v>
      </c>
      <c r="G50" s="6" t="str">
        <f aca="false">IFERROR(VLOOKUP(TRIM(SUBSTITUTE($D50,_xlfn.UNICHAR(160)," ")),CSDL_Virus!$A$2:$D$41,4,FALSE()),"Chưa phân loại")</f>
        <v>Thấp</v>
      </c>
    </row>
    <row r="51" customFormat="false" ht="15" hidden="false" customHeight="false" outlineLevel="0" collapsed="false">
      <c r="A51" s="7" t="n">
        <v>46308.7125</v>
      </c>
      <c r="B51" s="6" t="s">
        <v>132</v>
      </c>
      <c r="C51" s="6" t="s">
        <v>183</v>
      </c>
      <c r="D51" s="6" t="s">
        <v>35</v>
      </c>
      <c r="E51" s="6" t="str">
        <f aca="false">IFERROR(VLOOKUP(TRIM(SUBSTITUTE($D51,_xlfn.UNICHAR(160)," ")),CSDL_Virus!$A$2:$D$41,2,FALSE()),"Chưa phân loại")</f>
        <v>GrimSeal</v>
      </c>
      <c r="F51" s="6" t="str">
        <f aca="false">IFERROR(VLOOKUP(TRIM(SUBSTITUTE($D51,_xlfn.UNICHAR(160)," ")),CSDL_Virus!$A$2:$D$41,3,FALSE()),"Chưa phân loại")</f>
        <v>Ransomware</v>
      </c>
      <c r="G51" s="6" t="str">
        <f aca="false">IFERROR(VLOOKUP(TRIM(SUBSTITUTE($D51,_xlfn.UNICHAR(160)," ")),CSDL_Virus!$A$2:$D$41,4,FALSE()),"Chưa phân loại")</f>
        <v>Cao</v>
      </c>
    </row>
    <row r="52" customFormat="false" ht="15" hidden="false" customHeight="false" outlineLevel="0" collapsed="false">
      <c r="A52" s="7" t="n">
        <v>46308.7673611111</v>
      </c>
      <c r="B52" s="6" t="s">
        <v>127</v>
      </c>
      <c r="C52" s="6" t="s">
        <v>184</v>
      </c>
      <c r="D52" s="6" t="s">
        <v>185</v>
      </c>
      <c r="E52" s="6" t="str">
        <f aca="false">IFERROR(VLOOKUP(TRIM(SUBSTITUTE($D52,_xlfn.UNICHAR(160)," ")),CSDL_Virus!$A$2:$D$41,2,FALSE()),"Chưa phân loại")</f>
        <v>VaultBite</v>
      </c>
      <c r="F52" s="6" t="str">
        <f aca="false">IFERROR(VLOOKUP(TRIM(SUBSTITUTE($D52,_xlfn.UNICHAR(160)," ")),CSDL_Virus!$A$2:$D$41,3,FALSE()),"Chưa phân loại")</f>
        <v>Ransomware</v>
      </c>
      <c r="G52" s="6" t="str">
        <f aca="false">IFERROR(VLOOKUP(TRIM(SUBSTITUTE($D52,_xlfn.UNICHAR(160)," ")),CSDL_Virus!$A$2:$D$41,4,FALSE()),"Chưa phân loại")</f>
        <v>Nghiêm trọng</v>
      </c>
    </row>
    <row r="53" customFormat="false" ht="15" hidden="false" customHeight="false" outlineLevel="0" collapsed="false">
      <c r="A53" s="7" t="n">
        <v>46308.7861111111</v>
      </c>
      <c r="B53" s="6" t="s">
        <v>124</v>
      </c>
      <c r="C53" s="6" t="s">
        <v>186</v>
      </c>
      <c r="D53" s="6" t="s">
        <v>47</v>
      </c>
      <c r="E53" s="6" t="str">
        <f aca="false">IFERROR(VLOOKUP(TRIM(SUBSTITUTE($D53,_xlfn.UNICHAR(160)," ")),CSDL_Virus!$A$2:$D$41,2,FALSE()),"Chưa phân loại")</f>
        <v>TwinShell</v>
      </c>
      <c r="F53" s="6" t="str">
        <f aca="false">IFERROR(VLOOKUP(TRIM(SUBSTITUTE($D53,_xlfn.UNICHAR(160)," ")),CSDL_Virus!$A$2:$D$41,3,FALSE()),"Chưa phân loại")</f>
        <v>Trojan</v>
      </c>
      <c r="G53" s="6" t="str">
        <f aca="false">IFERROR(VLOOKUP(TRIM(SUBSTITUTE($D53,_xlfn.UNICHAR(160)," ")),CSDL_Virus!$A$2:$D$41,4,FALSE()),"Chưa phân loại")</f>
        <v>Trung bình</v>
      </c>
    </row>
    <row r="54" customFormat="false" ht="15" hidden="false" customHeight="false" outlineLevel="0" collapsed="false">
      <c r="A54" s="7" t="n">
        <v>46308.825</v>
      </c>
      <c r="B54" s="6" t="s">
        <v>117</v>
      </c>
      <c r="C54" s="6" t="s">
        <v>187</v>
      </c>
      <c r="D54" s="6" t="s">
        <v>188</v>
      </c>
      <c r="E54" s="6" t="str">
        <f aca="false">IFERROR(VLOOKUP(TRIM(SUBSTITUTE($D54,_xlfn.UNICHAR(160)," ")),CSDL_Virus!$A$2:$D$41,2,FALSE()),"Chưa phân loại")</f>
        <v>IronFlock</v>
      </c>
      <c r="F54" s="6" t="str">
        <f aca="false">IFERROR(VLOOKUP(TRIM(SUBSTITUTE($D54,_xlfn.UNICHAR(160)," ")),CSDL_Virus!$A$2:$D$41,3,FALSE()),"Chưa phân loại")</f>
        <v>Botnet</v>
      </c>
      <c r="G54" s="6" t="str">
        <f aca="false">IFERROR(VLOOKUP(TRIM(SUBSTITUTE($D54,_xlfn.UNICHAR(160)," ")),CSDL_Virus!$A$2:$D$41,4,FALSE()),"Chưa phân loại")</f>
        <v>Cao</v>
      </c>
    </row>
    <row r="55" customFormat="false" ht="15" hidden="false" customHeight="false" outlineLevel="0" collapsed="false">
      <c r="A55" s="7" t="n">
        <v>46308.8930555556</v>
      </c>
      <c r="B55" s="6" t="s">
        <v>124</v>
      </c>
      <c r="C55" s="6" t="s">
        <v>189</v>
      </c>
      <c r="D55" s="6" t="s">
        <v>58</v>
      </c>
      <c r="E55" s="6" t="str">
        <f aca="false">IFERROR(VLOOKUP(TRIM(SUBSTITUTE($D55,_xlfn.UNICHAR(160)," ")),CSDL_Virus!$A$2:$D$41,2,FALSE()),"Chưa phân loại")</f>
        <v>BrightFuse</v>
      </c>
      <c r="F55" s="6" t="str">
        <f aca="false">IFERROR(VLOOKUP(TRIM(SUBSTITUTE($D55,_xlfn.UNICHAR(160)," ")),CSDL_Virus!$A$2:$D$41,3,FALSE()),"Chưa phân loại")</f>
        <v>Worm</v>
      </c>
      <c r="G55" s="6" t="str">
        <f aca="false">IFERROR(VLOOKUP(TRIM(SUBSTITUTE($D55,_xlfn.UNICHAR(160)," ")),CSDL_Virus!$A$2:$D$41,4,FALSE()),"Chưa phân loại")</f>
        <v>Cao</v>
      </c>
    </row>
    <row r="56" customFormat="false" ht="15" hidden="false" customHeight="false" outlineLevel="0" collapsed="false">
      <c r="A56" s="7" t="n">
        <v>46308.90625</v>
      </c>
      <c r="B56" s="6" t="s">
        <v>127</v>
      </c>
      <c r="C56" s="6" t="s">
        <v>190</v>
      </c>
      <c r="D56" s="6" t="s">
        <v>188</v>
      </c>
      <c r="E56" s="6" t="str">
        <f aca="false">IFERROR(VLOOKUP(TRIM(SUBSTITUTE($D56,_xlfn.UNICHAR(160)," ")),CSDL_Virus!$A$2:$D$41,2,FALSE()),"Chưa phân loại")</f>
        <v>IronFlock</v>
      </c>
      <c r="F56" s="6" t="str">
        <f aca="false">IFERROR(VLOOKUP(TRIM(SUBSTITUTE($D56,_xlfn.UNICHAR(160)," ")),CSDL_Virus!$A$2:$D$41,3,FALSE()),"Chưa phân loại")</f>
        <v>Botnet</v>
      </c>
      <c r="G56" s="6" t="str">
        <f aca="false">IFERROR(VLOOKUP(TRIM(SUBSTITUTE($D56,_xlfn.UNICHAR(160)," ")),CSDL_Virus!$A$2:$D$41,4,FALSE()),"Chưa phân loại")</f>
        <v>Cao</v>
      </c>
    </row>
    <row r="57" customFormat="false" ht="15" hidden="false" customHeight="false" outlineLevel="0" collapsed="false">
      <c r="A57" s="7" t="n">
        <v>46308.9319444444</v>
      </c>
      <c r="B57" s="6" t="s">
        <v>119</v>
      </c>
      <c r="C57" s="6" t="s">
        <v>191</v>
      </c>
      <c r="D57" s="6" t="s">
        <v>96</v>
      </c>
      <c r="E57" s="6" t="str">
        <f aca="false">IFERROR(VLOOKUP(TRIM(SUBSTITUTE($D57,_xlfn.UNICHAR(160)," ")),CSDL_Virus!$A$2:$D$41,2,FALSE()),"Chưa phân loại")</f>
        <v>BaitCrate</v>
      </c>
      <c r="F57" s="6" t="str">
        <f aca="false">IFERROR(VLOOKUP(TRIM(SUBSTITUTE($D57,_xlfn.UNICHAR(160)," ")),CSDL_Virus!$A$2:$D$41,3,FALSE()),"Chưa phân loại")</f>
        <v>Phishing kit</v>
      </c>
      <c r="G57" s="6" t="str">
        <f aca="false">IFERROR(VLOOKUP(TRIM(SUBSTITUTE($D57,_xlfn.UNICHAR(160)," ")),CSDL_Virus!$A$2:$D$41,4,FALSE()),"Chưa phân loại")</f>
        <v>Cao</v>
      </c>
    </row>
    <row r="58" customFormat="false" ht="15" hidden="false" customHeight="false" outlineLevel="0" collapsed="false">
      <c r="A58" s="7" t="n">
        <v>46308.9333333333</v>
      </c>
      <c r="B58" s="6" t="s">
        <v>172</v>
      </c>
      <c r="C58" s="6" t="s">
        <v>192</v>
      </c>
      <c r="D58" s="6" t="s">
        <v>35</v>
      </c>
      <c r="E58" s="6" t="str">
        <f aca="false">IFERROR(VLOOKUP(TRIM(SUBSTITUTE($D58,_xlfn.UNICHAR(160)," ")),CSDL_Virus!$A$2:$D$41,2,FALSE()),"Chưa phân loại")</f>
        <v>GrimSeal</v>
      </c>
      <c r="F58" s="6" t="str">
        <f aca="false">IFERROR(VLOOKUP(TRIM(SUBSTITUTE($D58,_xlfn.UNICHAR(160)," ")),CSDL_Virus!$A$2:$D$41,3,FALSE()),"Chưa phân loại")</f>
        <v>Ransomware</v>
      </c>
      <c r="G58" s="6" t="str">
        <f aca="false">IFERROR(VLOOKUP(TRIM(SUBSTITUTE($D58,_xlfn.UNICHAR(160)," ")),CSDL_Virus!$A$2:$D$41,4,FALSE()),"Chưa phân loại")</f>
        <v>Cao</v>
      </c>
    </row>
    <row r="59" customFormat="false" ht="15" hidden="false" customHeight="false" outlineLevel="0" collapsed="false">
      <c r="A59" s="7" t="n">
        <v>46308.9826388889</v>
      </c>
      <c r="B59" s="6" t="s">
        <v>141</v>
      </c>
      <c r="C59" s="6" t="s">
        <v>193</v>
      </c>
      <c r="D59" s="6" t="s">
        <v>40</v>
      </c>
      <c r="E59" s="6" t="str">
        <f aca="false">IFERROR(VLOOKUP(TRIM(SUBSTITUTE($D59,_xlfn.UNICHAR(160)," ")),CSDL_Virus!$A$2:$D$41,2,FALSE()),"Chưa phân loại")</f>
        <v>HollowDoor</v>
      </c>
      <c r="F59" s="6" t="str">
        <f aca="false">IFERROR(VLOOKUP(TRIM(SUBSTITUTE($D59,_xlfn.UNICHAR(160)," ")),CSDL_Virus!$A$2:$D$41,3,FALSE()),"Chưa phân loại")</f>
        <v>Trojan</v>
      </c>
      <c r="G59" s="6" t="str">
        <f aca="false">IFERROR(VLOOKUP(TRIM(SUBSTITUTE($D59,_xlfn.UNICHAR(160)," ")),CSDL_Virus!$A$2:$D$41,4,FALSE()),"Chưa phân loại")</f>
        <v>Cao</v>
      </c>
    </row>
    <row r="60" customFormat="false" ht="15" hidden="false" customHeight="false" outlineLevel="0" collapsed="false">
      <c r="A60" s="7" t="n">
        <v>46308.9958333333</v>
      </c>
      <c r="B60" s="6" t="s">
        <v>117</v>
      </c>
      <c r="C60" s="6" t="s">
        <v>147</v>
      </c>
      <c r="D60" s="6" t="s">
        <v>30</v>
      </c>
      <c r="E60" s="6" t="str">
        <f aca="false">IFERROR(VLOOKUP(TRIM(SUBSTITUTE($D60,_xlfn.UNICHAR(160)," ")),CSDL_Virus!$A$2:$D$41,2,FALSE()),"Chưa phân loại")</f>
        <v>AshCrypt</v>
      </c>
      <c r="F60" s="6" t="str">
        <f aca="false">IFERROR(VLOOKUP(TRIM(SUBSTITUTE($D60,_xlfn.UNICHAR(160)," ")),CSDL_Virus!$A$2:$D$41,3,FALSE()),"Chưa phân loại")</f>
        <v>Ransomware</v>
      </c>
      <c r="G60" s="6" t="str">
        <f aca="false">IFERROR(VLOOKUP(TRIM(SUBSTITUTE($D60,_xlfn.UNICHAR(160)," ")),CSDL_Virus!$A$2:$D$41,4,FALSE()),"Chưa phân loại")</f>
        <v>Cao</v>
      </c>
    </row>
    <row r="61" customFormat="false" ht="15" hidden="false" customHeight="false" outlineLevel="0" collapsed="false">
      <c r="A61" s="7" t="n">
        <v>46309.05</v>
      </c>
      <c r="B61" s="6" t="s">
        <v>141</v>
      </c>
      <c r="C61" s="6" t="s">
        <v>194</v>
      </c>
      <c r="D61" s="6" t="s">
        <v>92</v>
      </c>
      <c r="E61" s="6" t="str">
        <f aca="false">IFERROR(VLOOKUP(TRIM(SUBSTITUTE($D61,_xlfn.UNICHAR(160)," ")),CSDL_Virus!$A$2:$D$41,2,FALSE()),"Chưa phân loại")</f>
        <v>DeepTick</v>
      </c>
      <c r="F61" s="6" t="str">
        <f aca="false">IFERROR(VLOOKUP(TRIM(SUBSTITUTE($D61,_xlfn.UNICHAR(160)," ")),CSDL_Virus!$A$2:$D$41,3,FALSE()),"Chưa phân loại")</f>
        <v>Cryptominer</v>
      </c>
      <c r="G61" s="6" t="str">
        <f aca="false">IFERROR(VLOOKUP(TRIM(SUBSTITUTE($D61,_xlfn.UNICHAR(160)," ")),CSDL_Virus!$A$2:$D$41,4,FALSE()),"Chưa phân loại")</f>
        <v>Trung bình</v>
      </c>
    </row>
    <row r="62" customFormat="false" ht="15" hidden="false" customHeight="false" outlineLevel="0" collapsed="false">
      <c r="A62" s="7" t="n">
        <v>46309.0625</v>
      </c>
      <c r="B62" s="6" t="s">
        <v>141</v>
      </c>
      <c r="C62" s="6" t="s">
        <v>173</v>
      </c>
      <c r="D62" s="6" t="s">
        <v>195</v>
      </c>
      <c r="E62" s="6" t="str">
        <f aca="false">IFERROR(VLOOKUP(TRIM(SUBSTITUTE($D62,_xlfn.UNICHAR(160)," ")),CSDL_Virus!$A$2:$D$41,2,FALSE()),"Chưa phân loại")</f>
        <v>DriftKey</v>
      </c>
      <c r="F62" s="6" t="str">
        <f aca="false">IFERROR(VLOOKUP(TRIM(SUBSTITUTE($D62,_xlfn.UNICHAR(160)," ")),CSDL_Virus!$A$2:$D$41,3,FALSE()),"Chưa phân loại")</f>
        <v>Trojan</v>
      </c>
      <c r="G62" s="6" t="str">
        <f aca="false">IFERROR(VLOOKUP(TRIM(SUBSTITUTE($D62,_xlfn.UNICHAR(160)," ")),CSDL_Virus!$A$2:$D$41,4,FALSE()),"Chưa phân loại")</f>
        <v>Nghiêm trọng</v>
      </c>
    </row>
    <row r="63" customFormat="false" ht="15" hidden="false" customHeight="false" outlineLevel="0" collapsed="false">
      <c r="A63" s="7" t="n">
        <v>46309.0631944445</v>
      </c>
      <c r="B63" s="6" t="s">
        <v>132</v>
      </c>
      <c r="C63" s="6" t="s">
        <v>196</v>
      </c>
      <c r="D63" s="6" t="s">
        <v>197</v>
      </c>
      <c r="E63" s="6" t="str">
        <f aca="false">IFERROR(VLOOKUP(TRIM(SUBSTITUTE($D63,_xlfn.UNICHAR(160)," ")),CSDL_Virus!$A$2:$D$41,2,FALSE()),"Chưa phân loại")</f>
        <v>Chưa phân loại</v>
      </c>
      <c r="F63" s="6" t="str">
        <f aca="false">IFERROR(VLOOKUP(TRIM(SUBSTITUTE($D63,_xlfn.UNICHAR(160)," ")),CSDL_Virus!$A$2:$D$41,3,FALSE()),"Chưa phân loại")</f>
        <v>Chưa phân loại</v>
      </c>
      <c r="G63" s="6" t="str">
        <f aca="false">IFERROR(VLOOKUP(TRIM(SUBSTITUTE($D63,_xlfn.UNICHAR(160)," ")),CSDL_Virus!$A$2:$D$41,4,FALSE()),"Chưa phân loại")</f>
        <v>Chưa phân loại</v>
      </c>
    </row>
    <row r="64" customFormat="false" ht="15" hidden="false" customHeight="false" outlineLevel="0" collapsed="false">
      <c r="A64" s="7" t="n">
        <v>46309.0972222222</v>
      </c>
      <c r="B64" s="6" t="s">
        <v>139</v>
      </c>
      <c r="C64" s="6" t="s">
        <v>198</v>
      </c>
      <c r="D64" s="6" t="s">
        <v>51</v>
      </c>
      <c r="E64" s="6" t="str">
        <f aca="false">IFERROR(VLOOKUP(TRIM(SUBSTITUTE($D64,_xlfn.UNICHAR(160)," ")),CSDL_Virus!$A$2:$D$41,2,FALSE()),"Chưa phân loại")</f>
        <v>RiverSpark</v>
      </c>
      <c r="F64" s="6" t="str">
        <f aca="false">IFERROR(VLOOKUP(TRIM(SUBSTITUTE($D64,_xlfn.UNICHAR(160)," ")),CSDL_Virus!$A$2:$D$41,3,FALSE()),"Chưa phân loại")</f>
        <v>Worm</v>
      </c>
      <c r="G64" s="6" t="str">
        <f aca="false">IFERROR(VLOOKUP(TRIM(SUBSTITUTE($D64,_xlfn.UNICHAR(160)," ")),CSDL_Virus!$A$2:$D$41,4,FALSE()),"Chưa phân loại")</f>
        <v>Cao</v>
      </c>
    </row>
    <row r="65" customFormat="false" ht="15" hidden="false" customHeight="false" outlineLevel="0" collapsed="false">
      <c r="A65" s="7" t="n">
        <v>46309.1416666667</v>
      </c>
      <c r="B65" s="6" t="s">
        <v>141</v>
      </c>
      <c r="C65" s="6" t="s">
        <v>184</v>
      </c>
      <c r="D65" s="6" t="s">
        <v>111</v>
      </c>
      <c r="E65" s="6" t="str">
        <f aca="false">IFERROR(VLOOKUP(TRIM(SUBSTITUTE($D65,_xlfn.UNICHAR(160)," ")),CSDL_Virus!$A$2:$D$41,2,FALSE()),"Chưa phân loại")</f>
        <v>AshMirror</v>
      </c>
      <c r="F65" s="6" t="str">
        <f aca="false">IFERROR(VLOOKUP(TRIM(SUBSTITUTE($D65,_xlfn.UNICHAR(160)," ")),CSDL_Virus!$A$2:$D$41,3,FALSE()),"Chưa phân loại")</f>
        <v>Spyware</v>
      </c>
      <c r="G65" s="6" t="str">
        <f aca="false">IFERROR(VLOOKUP(TRIM(SUBSTITUTE($D65,_xlfn.UNICHAR(160)," ")),CSDL_Virus!$A$2:$D$41,4,FALSE()),"Chưa phân loại")</f>
        <v>Cao</v>
      </c>
    </row>
    <row r="66" customFormat="false" ht="15" hidden="false" customHeight="false" outlineLevel="0" collapsed="false">
      <c r="A66" s="7" t="n">
        <v>46309.2826388889</v>
      </c>
      <c r="B66" s="6" t="s">
        <v>124</v>
      </c>
      <c r="C66" s="6" t="s">
        <v>199</v>
      </c>
      <c r="D66" s="6" t="s">
        <v>200</v>
      </c>
      <c r="E66" s="6" t="str">
        <f aca="false">IFERROR(VLOOKUP(TRIM(SUBSTITUTE($D66,_xlfn.UNICHAR(160)," ")),CSDL_Virus!$A$2:$D$41,2,FALSE()),"Chưa phân loại")</f>
        <v>AshMirror</v>
      </c>
      <c r="F66" s="6" t="str">
        <f aca="false">IFERROR(VLOOKUP(TRIM(SUBSTITUTE($D66,_xlfn.UNICHAR(160)," ")),CSDL_Virus!$A$2:$D$41,3,FALSE()),"Chưa phân loại")</f>
        <v>Spyware</v>
      </c>
      <c r="G66" s="6" t="str">
        <f aca="false">IFERROR(VLOOKUP(TRIM(SUBSTITUTE($D66,_xlfn.UNICHAR(160)," ")),CSDL_Virus!$A$2:$D$41,4,FALSE()),"Chưa phân loại")</f>
        <v>Cao</v>
      </c>
    </row>
    <row r="67" customFormat="false" ht="15" hidden="false" customHeight="false" outlineLevel="0" collapsed="false">
      <c r="A67" s="7" t="n">
        <v>46309.2993055556</v>
      </c>
      <c r="B67" s="6" t="s">
        <v>124</v>
      </c>
      <c r="C67" s="6" t="s">
        <v>201</v>
      </c>
      <c r="D67" s="6" t="s">
        <v>40</v>
      </c>
      <c r="E67" s="6" t="str">
        <f aca="false">IFERROR(VLOOKUP(TRIM(SUBSTITUTE($D67,_xlfn.UNICHAR(160)," ")),CSDL_Virus!$A$2:$D$41,2,FALSE()),"Chưa phân loại")</f>
        <v>HollowDoor</v>
      </c>
      <c r="F67" s="6" t="str">
        <f aca="false">IFERROR(VLOOKUP(TRIM(SUBSTITUTE($D67,_xlfn.UNICHAR(160)," ")),CSDL_Virus!$A$2:$D$41,3,FALSE()),"Chưa phân loại")</f>
        <v>Trojan</v>
      </c>
      <c r="G67" s="6" t="str">
        <f aca="false">IFERROR(VLOOKUP(TRIM(SUBSTITUTE($D67,_xlfn.UNICHAR(160)," ")),CSDL_Virus!$A$2:$D$41,4,FALSE()),"Chưa phân loại")</f>
        <v>Cao</v>
      </c>
    </row>
    <row r="68" customFormat="false" ht="15" hidden="false" customHeight="false" outlineLevel="0" collapsed="false">
      <c r="A68" s="7" t="n">
        <v>46309.3625</v>
      </c>
      <c r="B68" s="6" t="s">
        <v>141</v>
      </c>
      <c r="C68" s="6" t="s">
        <v>202</v>
      </c>
      <c r="D68" s="6" t="s">
        <v>203</v>
      </c>
      <c r="E68" s="6" t="str">
        <f aca="false">IFERROR(VLOOKUP(TRIM(SUBSTITUTE($D68,_xlfn.UNICHAR(160)," ")),CSDL_Virus!$A$2:$D$41,2,FALSE()),"Chưa phân loại")</f>
        <v>DuskRelay</v>
      </c>
      <c r="F68" s="6" t="str">
        <f aca="false">IFERROR(VLOOKUP(TRIM(SUBSTITUTE($D68,_xlfn.UNICHAR(160)," ")),CSDL_Virus!$A$2:$D$41,3,FALSE()),"Chưa phân loại")</f>
        <v>Botnet</v>
      </c>
      <c r="G68" s="6" t="str">
        <f aca="false">IFERROR(VLOOKUP(TRIM(SUBSTITUTE($D68,_xlfn.UNICHAR(160)," ")),CSDL_Virus!$A$2:$D$41,4,FALSE()),"Chưa phân loại")</f>
        <v>Cao</v>
      </c>
    </row>
    <row r="69" customFormat="false" ht="15" hidden="false" customHeight="false" outlineLevel="0" collapsed="false">
      <c r="A69" s="7" t="n">
        <v>46309.4527777778</v>
      </c>
      <c r="B69" s="6" t="s">
        <v>117</v>
      </c>
      <c r="C69" s="6" t="s">
        <v>204</v>
      </c>
      <c r="D69" s="6" t="s">
        <v>68</v>
      </c>
      <c r="E69" s="6" t="str">
        <f aca="false">IFERROR(VLOOKUP(TRIM(SUBSTITUTE($D69,_xlfn.UNICHAR(160)," ")),CSDL_Virus!$A$2:$D$41,2,FALSE()),"Chưa phân loại")</f>
        <v>LintWatch</v>
      </c>
      <c r="F69" s="6" t="str">
        <f aca="false">IFERROR(VLOOKUP(TRIM(SUBSTITUTE($D69,_xlfn.UNICHAR(160)," ")),CSDL_Virus!$A$2:$D$41,3,FALSE()),"Chưa phân loại")</f>
        <v>Spyware</v>
      </c>
      <c r="G69" s="6" t="str">
        <f aca="false">IFERROR(VLOOKUP(TRIM(SUBSTITUTE($D69,_xlfn.UNICHAR(160)," ")),CSDL_Virus!$A$2:$D$41,4,FALSE()),"Chưa phân loại")</f>
        <v>Thấp</v>
      </c>
    </row>
    <row r="70" customFormat="false" ht="15" hidden="false" customHeight="false" outlineLevel="0" collapsed="false">
      <c r="A70" s="7" t="n">
        <v>46309.4555555556</v>
      </c>
      <c r="B70" s="6" t="s">
        <v>124</v>
      </c>
      <c r="C70" s="6" t="s">
        <v>205</v>
      </c>
      <c r="D70" s="6" t="s">
        <v>206</v>
      </c>
      <c r="E70" s="6" t="str">
        <f aca="false">IFERROR(VLOOKUP(TRIM(SUBSTITUTE($D70,_xlfn.UNICHAR(160)," ")),CSDL_Virus!$A$2:$D$41,2,FALSE()),"Chưa phân loại")</f>
        <v>BaitCrate</v>
      </c>
      <c r="F70" s="6" t="str">
        <f aca="false">IFERROR(VLOOKUP(TRIM(SUBSTITUTE($D70,_xlfn.UNICHAR(160)," ")),CSDL_Virus!$A$2:$D$41,3,FALSE()),"Chưa phân loại")</f>
        <v>Phishing kit</v>
      </c>
      <c r="G70" s="6" t="str">
        <f aca="false">IFERROR(VLOOKUP(TRIM(SUBSTITUTE($D70,_xlfn.UNICHAR(160)," ")),CSDL_Virus!$A$2:$D$41,4,FALSE()),"Chưa phân loại")</f>
        <v>Cao</v>
      </c>
    </row>
    <row r="71" customFormat="false" ht="15" hidden="false" customHeight="false" outlineLevel="0" collapsed="false">
      <c r="A71" s="7" t="n">
        <v>46309.48125</v>
      </c>
      <c r="B71" s="6" t="s">
        <v>119</v>
      </c>
      <c r="C71" s="6" t="s">
        <v>135</v>
      </c>
      <c r="D71" s="6" t="s">
        <v>51</v>
      </c>
      <c r="E71" s="6" t="str">
        <f aca="false">IFERROR(VLOOKUP(TRIM(SUBSTITUTE($D71,_xlfn.UNICHAR(160)," ")),CSDL_Virus!$A$2:$D$41,2,FALSE()),"Chưa phân loại")</f>
        <v>RiverSpark</v>
      </c>
      <c r="F71" s="6" t="str">
        <f aca="false">IFERROR(VLOOKUP(TRIM(SUBSTITUTE($D71,_xlfn.UNICHAR(160)," ")),CSDL_Virus!$A$2:$D$41,3,FALSE()),"Chưa phân loại")</f>
        <v>Worm</v>
      </c>
      <c r="G71" s="6" t="str">
        <f aca="false">IFERROR(VLOOKUP(TRIM(SUBSTITUTE($D71,_xlfn.UNICHAR(160)," ")),CSDL_Virus!$A$2:$D$41,4,FALSE()),"Chưa phân loại")</f>
        <v>Cao</v>
      </c>
    </row>
    <row r="72" customFormat="false" ht="15" hidden="false" customHeight="false" outlineLevel="0" collapsed="false">
      <c r="A72" s="7" t="n">
        <v>46309.5673611111</v>
      </c>
      <c r="B72" s="6" t="s">
        <v>141</v>
      </c>
      <c r="C72" s="6" t="s">
        <v>207</v>
      </c>
      <c r="D72" s="6" t="s">
        <v>74</v>
      </c>
      <c r="E72" s="6" t="str">
        <f aca="false">IFERROR(VLOOKUP(TRIM(SUBSTITUTE($D72,_xlfn.UNICHAR(160)," ")),CSDL_Virus!$A$2:$D$41,2,FALSE()),"Chưa phân loại")</f>
        <v>IronFlock</v>
      </c>
      <c r="F72" s="6" t="str">
        <f aca="false">IFERROR(VLOOKUP(TRIM(SUBSTITUTE($D72,_xlfn.UNICHAR(160)," ")),CSDL_Virus!$A$2:$D$41,3,FALSE()),"Chưa phân loại")</f>
        <v>Botnet</v>
      </c>
      <c r="G72" s="6" t="str">
        <f aca="false">IFERROR(VLOOKUP(TRIM(SUBSTITUTE($D72,_xlfn.UNICHAR(160)," ")),CSDL_Virus!$A$2:$D$41,4,FALSE()),"Chưa phân loại")</f>
        <v>Cao</v>
      </c>
    </row>
    <row r="73" customFormat="false" ht="15" hidden="false" customHeight="false" outlineLevel="0" collapsed="false">
      <c r="A73" s="7" t="n">
        <v>46309.56875</v>
      </c>
      <c r="B73" s="6" t="s">
        <v>141</v>
      </c>
      <c r="C73" s="6" t="s">
        <v>208</v>
      </c>
      <c r="D73" s="6" t="s">
        <v>66</v>
      </c>
      <c r="E73" s="6" t="str">
        <f aca="false">IFERROR(VLOOKUP(TRIM(SUBSTITUTE($D73,_xlfn.UNICHAR(160)," ")),CSDL_Virus!$A$2:$D$41,2,FALSE()),"Chưa phân loại")</f>
        <v>GlassTap</v>
      </c>
      <c r="F73" s="6" t="str">
        <f aca="false">IFERROR(VLOOKUP(TRIM(SUBSTITUTE($D73,_xlfn.UNICHAR(160)," ")),CSDL_Virus!$A$2:$D$41,3,FALSE()),"Chưa phân loại")</f>
        <v>Spyware</v>
      </c>
      <c r="G73" s="6" t="str">
        <f aca="false">IFERROR(VLOOKUP(TRIM(SUBSTITUTE($D73,_xlfn.UNICHAR(160)," ")),CSDL_Virus!$A$2:$D$41,4,FALSE()),"Chưa phân loại")</f>
        <v>Cao</v>
      </c>
    </row>
    <row r="74" customFormat="false" ht="15" hidden="false" customHeight="false" outlineLevel="0" collapsed="false">
      <c r="A74" s="7" t="n">
        <v>46309.6298611111</v>
      </c>
      <c r="B74" s="6" t="s">
        <v>141</v>
      </c>
      <c r="C74" s="6" t="s">
        <v>209</v>
      </c>
      <c r="D74" s="6" t="s">
        <v>210</v>
      </c>
      <c r="E74" s="6" t="str">
        <f aca="false">IFERROR(VLOOKUP(TRIM(SUBSTITUTE($D74,_xlfn.UNICHAR(160)," ")),CSDL_Virus!$A$2:$D$41,2,FALSE()),"Chưa phân loại")</f>
        <v>TideRoot</v>
      </c>
      <c r="F74" s="6" t="str">
        <f aca="false">IFERROR(VLOOKUP(TRIM(SUBSTITUTE($D74,_xlfn.UNICHAR(160)," ")),CSDL_Virus!$A$2:$D$41,3,FALSE()),"Chưa phân loại")</f>
        <v>Worm</v>
      </c>
      <c r="G74" s="6" t="str">
        <f aca="false">IFERROR(VLOOKUP(TRIM(SUBSTITUTE($D74,_xlfn.UNICHAR(160)," ")),CSDL_Virus!$A$2:$D$41,4,FALSE()),"Chưa phân loại")</f>
        <v>Thấp</v>
      </c>
    </row>
    <row r="75" customFormat="false" ht="15" hidden="false" customHeight="false" outlineLevel="0" collapsed="false">
      <c r="A75" s="7" t="n">
        <v>46309.6506944444</v>
      </c>
      <c r="B75" s="6" t="s">
        <v>172</v>
      </c>
      <c r="C75" s="6" t="s">
        <v>211</v>
      </c>
      <c r="D75" s="6" t="s">
        <v>79</v>
      </c>
      <c r="E75" s="6" t="str">
        <f aca="false">IFERROR(VLOOKUP(TRIM(SUBSTITUTE($D75,_xlfn.UNICHAR(160)," ")),CSDL_Virus!$A$2:$D$41,2,FALSE()),"Chưa phân loại")</f>
        <v>DuskRelay</v>
      </c>
      <c r="F75" s="6" t="str">
        <f aca="false">IFERROR(VLOOKUP(TRIM(SUBSTITUTE($D75,_xlfn.UNICHAR(160)," ")),CSDL_Virus!$A$2:$D$41,3,FALSE()),"Chưa phân loại")</f>
        <v>Botnet</v>
      </c>
      <c r="G75" s="6" t="str">
        <f aca="false">IFERROR(VLOOKUP(TRIM(SUBSTITUTE($D75,_xlfn.UNICHAR(160)," ")),CSDL_Virus!$A$2:$D$41,4,FALSE()),"Chưa phân loại")</f>
        <v>Cao</v>
      </c>
    </row>
    <row r="76" customFormat="false" ht="15" hidden="false" customHeight="false" outlineLevel="0" collapsed="false">
      <c r="A76" s="7" t="n">
        <v>46309.6847222222</v>
      </c>
      <c r="B76" s="6" t="s">
        <v>132</v>
      </c>
      <c r="C76" s="6" t="s">
        <v>212</v>
      </c>
      <c r="D76" s="6" t="s">
        <v>213</v>
      </c>
      <c r="E76" s="6" t="str">
        <f aca="false">IFERROR(VLOOKUP(TRIM(SUBSTITUTE($D76,_xlfn.UNICHAR(160)," ")),CSDL_Virus!$A$2:$D$41,2,FALSE()),"Chưa phân loại")</f>
        <v>HollowDoor</v>
      </c>
      <c r="F76" s="6" t="str">
        <f aca="false">IFERROR(VLOOKUP(TRIM(SUBSTITUTE($D76,_xlfn.UNICHAR(160)," ")),CSDL_Virus!$A$2:$D$41,3,FALSE()),"Chưa phân loại")</f>
        <v>Trojan</v>
      </c>
      <c r="G76" s="6" t="str">
        <f aca="false">IFERROR(VLOOKUP(TRIM(SUBSTITUTE($D76,_xlfn.UNICHAR(160)," ")),CSDL_Virus!$A$2:$D$41,4,FALSE()),"Chưa phân loại")</f>
        <v>Cao</v>
      </c>
    </row>
    <row r="77" customFormat="false" ht="15" hidden="false" customHeight="false" outlineLevel="0" collapsed="false">
      <c r="A77" s="7" t="n">
        <v>46309.8756944445</v>
      </c>
      <c r="B77" s="6" t="s">
        <v>119</v>
      </c>
      <c r="C77" s="6" t="s">
        <v>214</v>
      </c>
      <c r="D77" s="6" t="s">
        <v>51</v>
      </c>
      <c r="E77" s="6" t="str">
        <f aca="false">IFERROR(VLOOKUP(TRIM(SUBSTITUTE($D77,_xlfn.UNICHAR(160)," ")),CSDL_Virus!$A$2:$D$41,2,FALSE()),"Chưa phân loại")</f>
        <v>RiverSpark</v>
      </c>
      <c r="F77" s="6" t="str">
        <f aca="false">IFERROR(VLOOKUP(TRIM(SUBSTITUTE($D77,_xlfn.UNICHAR(160)," ")),CSDL_Virus!$A$2:$D$41,3,FALSE()),"Chưa phân loại")</f>
        <v>Worm</v>
      </c>
      <c r="G77" s="6" t="str">
        <f aca="false">IFERROR(VLOOKUP(TRIM(SUBSTITUTE($D77,_xlfn.UNICHAR(160)," ")),CSDL_Virus!$A$2:$D$41,4,FALSE()),"Chưa phân loại")</f>
        <v>Cao</v>
      </c>
    </row>
    <row r="78" customFormat="false" ht="15" hidden="false" customHeight="false" outlineLevel="0" collapsed="false">
      <c r="A78" s="7" t="n">
        <v>46309.8944444444</v>
      </c>
      <c r="B78" s="6" t="s">
        <v>124</v>
      </c>
      <c r="C78" s="6" t="s">
        <v>215</v>
      </c>
      <c r="D78" s="6" t="s">
        <v>111</v>
      </c>
      <c r="E78" s="6" t="str">
        <f aca="false">IFERROR(VLOOKUP(TRIM(SUBSTITUTE($D78,_xlfn.UNICHAR(160)," ")),CSDL_Virus!$A$2:$D$41,2,FALSE()),"Chưa phân loại")</f>
        <v>AshMirror</v>
      </c>
      <c r="F78" s="6" t="str">
        <f aca="false">IFERROR(VLOOKUP(TRIM(SUBSTITUTE($D78,_xlfn.UNICHAR(160)," ")),CSDL_Virus!$A$2:$D$41,3,FALSE()),"Chưa phân loại")</f>
        <v>Spyware</v>
      </c>
      <c r="G78" s="6" t="str">
        <f aca="false">IFERROR(VLOOKUP(TRIM(SUBSTITUTE($D78,_xlfn.UNICHAR(160)," ")),CSDL_Virus!$A$2:$D$41,4,FALSE()),"Chưa phân loại")</f>
        <v>Cao</v>
      </c>
    </row>
    <row r="79" customFormat="false" ht="15" hidden="false" customHeight="false" outlineLevel="0" collapsed="false">
      <c r="A79" s="7" t="n">
        <v>46309.9472222222</v>
      </c>
      <c r="B79" s="6" t="s">
        <v>139</v>
      </c>
      <c r="C79" s="6" t="s">
        <v>216</v>
      </c>
      <c r="D79" s="6" t="s">
        <v>56</v>
      </c>
      <c r="E79" s="6" t="str">
        <f aca="false">IFERROR(VLOOKUP(TRIM(SUBSTITUTE($D79,_xlfn.UNICHAR(160)," ")),CSDL_Virus!$A$2:$D$41,2,FALSE()),"Chưa phân loại")</f>
        <v>EchoSwarm</v>
      </c>
      <c r="F79" s="6" t="str">
        <f aca="false">IFERROR(VLOOKUP(TRIM(SUBSTITUTE($D79,_xlfn.UNICHAR(160)," ")),CSDL_Virus!$A$2:$D$41,3,FALSE()),"Chưa phân loại")</f>
        <v>Worm</v>
      </c>
      <c r="G79" s="6" t="str">
        <f aca="false">IFERROR(VLOOKUP(TRIM(SUBSTITUTE($D79,_xlfn.UNICHAR(160)," ")),CSDL_Virus!$A$2:$D$41,4,FALSE()),"Chưa phân loại")</f>
        <v>Trung bình</v>
      </c>
    </row>
    <row r="80" customFormat="false" ht="15" hidden="false" customHeight="false" outlineLevel="0" collapsed="false">
      <c r="A80" s="7" t="n">
        <v>46309.9798611111</v>
      </c>
      <c r="B80" s="6" t="s">
        <v>124</v>
      </c>
      <c r="C80" s="6" t="s">
        <v>217</v>
      </c>
      <c r="D80" s="6" t="s">
        <v>28</v>
      </c>
      <c r="E80" s="6" t="str">
        <f aca="false">IFERROR(VLOOKUP(TRIM(SUBSTITUTE($D80,_xlfn.UNICHAR(160)," ")),CSDL_Virus!$A$2:$D$41,2,FALSE()),"Chưa phân loại")</f>
        <v>VaultBite</v>
      </c>
      <c r="F80" s="6" t="str">
        <f aca="false">IFERROR(VLOOKUP(TRIM(SUBSTITUTE($D80,_xlfn.UNICHAR(160)," ")),CSDL_Virus!$A$2:$D$41,3,FALSE()),"Chưa phân loại")</f>
        <v>Ransomware</v>
      </c>
      <c r="G80" s="6" t="str">
        <f aca="false">IFERROR(VLOOKUP(TRIM(SUBSTITUTE($D80,_xlfn.UNICHAR(160)," ")),CSDL_Virus!$A$2:$D$41,4,FALSE()),"Chưa phân loại")</f>
        <v>Nghiêm trọng</v>
      </c>
    </row>
    <row r="81" customFormat="false" ht="15" hidden="false" customHeight="false" outlineLevel="0" collapsed="false">
      <c r="A81" s="7" t="n">
        <v>46309.99375</v>
      </c>
      <c r="B81" s="6" t="s">
        <v>127</v>
      </c>
      <c r="C81" s="6" t="s">
        <v>125</v>
      </c>
      <c r="D81" s="6" t="s">
        <v>218</v>
      </c>
      <c r="E81" s="6" t="str">
        <f aca="false">IFERROR(VLOOKUP(TRIM(SUBSTITUTE($D81,_xlfn.UNICHAR(160)," ")),CSDL_Virus!$A$2:$D$41,2,FALSE()),"Chưa phân loại")</f>
        <v>IronFlock</v>
      </c>
      <c r="F81" s="6" t="str">
        <f aca="false">IFERROR(VLOOKUP(TRIM(SUBSTITUTE($D81,_xlfn.UNICHAR(160)," ")),CSDL_Virus!$A$2:$D$41,3,FALSE()),"Chưa phân loại")</f>
        <v>Botnet</v>
      </c>
      <c r="G81" s="6" t="str">
        <f aca="false">IFERROR(VLOOKUP(TRIM(SUBSTITUTE($D81,_xlfn.UNICHAR(160)," ")),CSDL_Virus!$A$2:$D$41,4,FALSE()),"Chưa phân loại")</f>
        <v>Cao</v>
      </c>
    </row>
    <row r="82" customFormat="false" ht="15" hidden="false" customHeight="false" outlineLevel="0" collapsed="false">
      <c r="A82" s="7" t="n">
        <v>46310.0618055556</v>
      </c>
      <c r="B82" s="6" t="s">
        <v>141</v>
      </c>
      <c r="C82" s="6" t="s">
        <v>219</v>
      </c>
      <c r="D82" s="6" t="s">
        <v>220</v>
      </c>
      <c r="E82" s="6" t="str">
        <f aca="false">IFERROR(VLOOKUP(TRIM(SUBSTITUTE($D82,_xlfn.UNICHAR(160)," ")),CSDL_Virus!$A$2:$D$41,2,FALSE()),"Chưa phân loại")</f>
        <v>SilentBank</v>
      </c>
      <c r="F82" s="6" t="str">
        <f aca="false">IFERROR(VLOOKUP(TRIM(SUBSTITUTE($D82,_xlfn.UNICHAR(160)," ")),CSDL_Virus!$A$2:$D$41,3,FALSE()),"Chưa phân loại")</f>
        <v>Trojan</v>
      </c>
      <c r="G82" s="6" t="str">
        <f aca="false">IFERROR(VLOOKUP(TRIM(SUBSTITUTE($D82,_xlfn.UNICHAR(160)," ")),CSDL_Virus!$A$2:$D$41,4,FALSE()),"Chưa phân loại")</f>
        <v>Cao</v>
      </c>
    </row>
    <row r="83" customFormat="false" ht="15" hidden="false" customHeight="false" outlineLevel="0" collapsed="false">
      <c r="A83" s="7" t="n">
        <v>46310.0625</v>
      </c>
      <c r="B83" s="6" t="s">
        <v>141</v>
      </c>
      <c r="C83" s="6" t="s">
        <v>221</v>
      </c>
      <c r="D83" s="6" t="s">
        <v>58</v>
      </c>
      <c r="E83" s="6" t="str">
        <f aca="false">IFERROR(VLOOKUP(TRIM(SUBSTITUTE($D83,_xlfn.UNICHAR(160)," ")),CSDL_Virus!$A$2:$D$41,2,FALSE()),"Chưa phân loại")</f>
        <v>BrightFuse</v>
      </c>
      <c r="F83" s="6" t="str">
        <f aca="false">IFERROR(VLOOKUP(TRIM(SUBSTITUTE($D83,_xlfn.UNICHAR(160)," ")),CSDL_Virus!$A$2:$D$41,3,FALSE()),"Chưa phân loại")</f>
        <v>Worm</v>
      </c>
      <c r="G83" s="6" t="str">
        <f aca="false">IFERROR(VLOOKUP(TRIM(SUBSTITUTE($D83,_xlfn.UNICHAR(160)," ")),CSDL_Virus!$A$2:$D$41,4,FALSE()),"Chưa phân loại")</f>
        <v>Cao</v>
      </c>
    </row>
    <row r="84" customFormat="false" ht="15" hidden="false" customHeight="false" outlineLevel="0" collapsed="false">
      <c r="A84" s="7" t="n">
        <v>46310.0881944444</v>
      </c>
      <c r="B84" s="6" t="s">
        <v>172</v>
      </c>
      <c r="C84" s="6" t="s">
        <v>222</v>
      </c>
      <c r="D84" s="6" t="s">
        <v>77</v>
      </c>
      <c r="E84" s="6" t="str">
        <f aca="false">IFERROR(VLOOKUP(TRIM(SUBSTITUTE($D84,_xlfn.UNICHAR(160)," ")),CSDL_Virus!$A$2:$D$41,2,FALSE()),"Chưa phân loại")</f>
        <v>HiveNote</v>
      </c>
      <c r="F84" s="6" t="str">
        <f aca="false">IFERROR(VLOOKUP(TRIM(SUBSTITUTE($D84,_xlfn.UNICHAR(160)," ")),CSDL_Virus!$A$2:$D$41,3,FALSE()),"Chưa phân loại")</f>
        <v>Botnet</v>
      </c>
      <c r="G84" s="6" t="str">
        <f aca="false">IFERROR(VLOOKUP(TRIM(SUBSTITUTE($D84,_xlfn.UNICHAR(160)," ")),CSDL_Virus!$A$2:$D$41,4,FALSE()),"Chưa phân loại")</f>
        <v>Trung bình</v>
      </c>
    </row>
    <row r="85" customFormat="false" ht="15" hidden="false" customHeight="false" outlineLevel="0" collapsed="false">
      <c r="A85" s="7" t="n">
        <v>46310.0986111111</v>
      </c>
      <c r="B85" s="6" t="s">
        <v>127</v>
      </c>
      <c r="C85" s="6" t="s">
        <v>169</v>
      </c>
      <c r="D85" s="6" t="s">
        <v>66</v>
      </c>
      <c r="E85" s="6" t="str">
        <f aca="false">IFERROR(VLOOKUP(TRIM(SUBSTITUTE($D85,_xlfn.UNICHAR(160)," ")),CSDL_Virus!$A$2:$D$41,2,FALSE()),"Chưa phân loại")</f>
        <v>GlassTap</v>
      </c>
      <c r="F85" s="6" t="str">
        <f aca="false">IFERROR(VLOOKUP(TRIM(SUBSTITUTE($D85,_xlfn.UNICHAR(160)," ")),CSDL_Virus!$A$2:$D$41,3,FALSE()),"Chưa phân loại")</f>
        <v>Spyware</v>
      </c>
      <c r="G85" s="6" t="str">
        <f aca="false">IFERROR(VLOOKUP(TRIM(SUBSTITUTE($D85,_xlfn.UNICHAR(160)," ")),CSDL_Virus!$A$2:$D$41,4,FALSE()),"Chưa phân loại")</f>
        <v>Cao</v>
      </c>
    </row>
    <row r="86" customFormat="false" ht="15" hidden="false" customHeight="false" outlineLevel="0" collapsed="false">
      <c r="A86" s="7" t="n">
        <v>46310.1083333333</v>
      </c>
      <c r="B86" s="6" t="s">
        <v>141</v>
      </c>
      <c r="C86" s="6" t="s">
        <v>202</v>
      </c>
      <c r="D86" s="6" t="s">
        <v>223</v>
      </c>
      <c r="E86" s="6" t="str">
        <f aca="false">IFERROR(VLOOKUP(TRIM(SUBSTITUTE($D86,_xlfn.UNICHAR(160)," ")),CSDL_Virus!$A$2:$D$41,2,FALSE()),"Chưa phân loại")</f>
        <v>HollowDoor</v>
      </c>
      <c r="F86" s="6" t="str">
        <f aca="false">IFERROR(VLOOKUP(TRIM(SUBSTITUTE($D86,_xlfn.UNICHAR(160)," ")),CSDL_Virus!$A$2:$D$41,3,FALSE()),"Chưa phân loại")</f>
        <v>Trojan</v>
      </c>
      <c r="G86" s="6" t="str">
        <f aca="false">IFERROR(VLOOKUP(TRIM(SUBSTITUTE($D86,_xlfn.UNICHAR(160)," ")),CSDL_Virus!$A$2:$D$41,4,FALSE()),"Chưa phân loại")</f>
        <v>Cao</v>
      </c>
    </row>
    <row r="87" customFormat="false" ht="15" hidden="false" customHeight="false" outlineLevel="0" collapsed="false">
      <c r="A87" s="7" t="n">
        <v>46310.1493055556</v>
      </c>
      <c r="B87" s="6" t="s">
        <v>141</v>
      </c>
      <c r="C87" s="6" t="s">
        <v>224</v>
      </c>
      <c r="D87" s="6" t="s">
        <v>74</v>
      </c>
      <c r="E87" s="6" t="str">
        <f aca="false">IFERROR(VLOOKUP(TRIM(SUBSTITUTE($D87,_xlfn.UNICHAR(160)," ")),CSDL_Virus!$A$2:$D$41,2,FALSE()),"Chưa phân loại")</f>
        <v>IronFlock</v>
      </c>
      <c r="F87" s="6" t="str">
        <f aca="false">IFERROR(VLOOKUP(TRIM(SUBSTITUTE($D87,_xlfn.UNICHAR(160)," ")),CSDL_Virus!$A$2:$D$41,3,FALSE()),"Chưa phân loại")</f>
        <v>Botnet</v>
      </c>
      <c r="G87" s="6" t="str">
        <f aca="false">IFERROR(VLOOKUP(TRIM(SUBSTITUTE($D87,_xlfn.UNICHAR(160)," ")),CSDL_Virus!$A$2:$D$41,4,FALSE()),"Chưa phân loại")</f>
        <v>Cao</v>
      </c>
    </row>
    <row r="88" customFormat="false" ht="15" hidden="false" customHeight="false" outlineLevel="0" collapsed="false">
      <c r="A88" s="7" t="n">
        <v>46310.1930555556</v>
      </c>
      <c r="B88" s="6" t="s">
        <v>119</v>
      </c>
      <c r="C88" s="6" t="s">
        <v>225</v>
      </c>
      <c r="D88" s="6" t="s">
        <v>90</v>
      </c>
      <c r="E88" s="6" t="str">
        <f aca="false">IFERROR(VLOOKUP(TRIM(SUBSTITUTE($D88,_xlfn.UNICHAR(160)," ")),CSDL_Virus!$A$2:$D$41,2,FALSE()),"Chưa phân loại")</f>
        <v>SlowForge</v>
      </c>
      <c r="F88" s="6" t="str">
        <f aca="false">IFERROR(VLOOKUP(TRIM(SUBSTITUTE($D88,_xlfn.UNICHAR(160)," ")),CSDL_Virus!$A$2:$D$41,3,FALSE()),"Chưa phân loại")</f>
        <v>Cryptominer</v>
      </c>
      <c r="G88" s="6" t="str">
        <f aca="false">IFERROR(VLOOKUP(TRIM(SUBSTITUTE($D88,_xlfn.UNICHAR(160)," ")),CSDL_Virus!$A$2:$D$41,4,FALSE()),"Chưa phân loại")</f>
        <v>Thấp</v>
      </c>
    </row>
    <row r="89" customFormat="false" ht="15" hidden="false" customHeight="false" outlineLevel="0" collapsed="false">
      <c r="A89" s="7" t="n">
        <v>46310.2263888889</v>
      </c>
      <c r="B89" s="6" t="s">
        <v>127</v>
      </c>
      <c r="C89" s="6" t="s">
        <v>226</v>
      </c>
      <c r="D89" s="6" t="s">
        <v>107</v>
      </c>
      <c r="E89" s="6" t="str">
        <f aca="false">IFERROR(VLOOKUP(TRIM(SUBSTITUTE($D89,_xlfn.UNICHAR(160)," ")),CSDL_Virus!$A$2:$D$41,2,FALSE()),"Chưa phân loại")</f>
        <v>DeepAnchor</v>
      </c>
      <c r="F89" s="6" t="str">
        <f aca="false">IFERROR(VLOOKUP(TRIM(SUBSTITUTE($D89,_xlfn.UNICHAR(160)," ")),CSDL_Virus!$A$2:$D$41,3,FALSE()),"Chưa phân loại")</f>
        <v>Ransomware</v>
      </c>
      <c r="G89" s="6" t="str">
        <f aca="false">IFERROR(VLOOKUP(TRIM(SUBSTITUTE($D89,_xlfn.UNICHAR(160)," ")),CSDL_Virus!$A$2:$D$41,4,FALSE()),"Chưa phân loại")</f>
        <v>Nghiêm trọng</v>
      </c>
    </row>
    <row r="90" customFormat="false" ht="15" hidden="false" customHeight="false" outlineLevel="0" collapsed="false">
      <c r="A90" s="7" t="n">
        <v>46310.2590277778</v>
      </c>
      <c r="B90" s="6" t="s">
        <v>127</v>
      </c>
      <c r="C90" s="6" t="s">
        <v>227</v>
      </c>
      <c r="D90" s="6" t="s">
        <v>22</v>
      </c>
      <c r="E90" s="6" t="str">
        <f aca="false">IFERROR(VLOOKUP(TRIM(SUBSTITUTE($D90,_xlfn.UNICHAR(160)," ")),CSDL_Virus!$A$2:$D$41,2,FALSE()),"Chưa phân loại")</f>
        <v>LockBay</v>
      </c>
      <c r="F90" s="6" t="str">
        <f aca="false">IFERROR(VLOOKUP(TRIM(SUBSTITUTE($D90,_xlfn.UNICHAR(160)," ")),CSDL_Virus!$A$2:$D$41,3,FALSE()),"Chưa phân loại")</f>
        <v>Ransomware</v>
      </c>
      <c r="G90" s="6" t="str">
        <f aca="false">IFERROR(VLOOKUP(TRIM(SUBSTITUTE($D90,_xlfn.UNICHAR(160)," ")),CSDL_Virus!$A$2:$D$41,4,FALSE()),"Chưa phân loại")</f>
        <v>Nghiêm trọng</v>
      </c>
    </row>
    <row r="91" customFormat="false" ht="15" hidden="false" customHeight="false" outlineLevel="0" collapsed="false">
      <c r="A91" s="7" t="n">
        <v>46310.3298611111</v>
      </c>
      <c r="B91" s="6" t="s">
        <v>127</v>
      </c>
      <c r="C91" s="6" t="s">
        <v>228</v>
      </c>
      <c r="D91" s="6" t="s">
        <v>30</v>
      </c>
      <c r="E91" s="6" t="str">
        <f aca="false">IFERROR(VLOOKUP(TRIM(SUBSTITUTE($D91,_xlfn.UNICHAR(160)," ")),CSDL_Virus!$A$2:$D$41,2,FALSE()),"Chưa phân loại")</f>
        <v>AshCrypt</v>
      </c>
      <c r="F91" s="6" t="str">
        <f aca="false">IFERROR(VLOOKUP(TRIM(SUBSTITUTE($D91,_xlfn.UNICHAR(160)," ")),CSDL_Virus!$A$2:$D$41,3,FALSE()),"Chưa phân loại")</f>
        <v>Ransomware</v>
      </c>
      <c r="G91" s="6" t="str">
        <f aca="false">IFERROR(VLOOKUP(TRIM(SUBSTITUTE($D91,_xlfn.UNICHAR(160)," ")),CSDL_Virus!$A$2:$D$41,4,FALSE()),"Chưa phân loại")</f>
        <v>Cao</v>
      </c>
    </row>
    <row r="92" customFormat="false" ht="15" hidden="false" customHeight="false" outlineLevel="0" collapsed="false">
      <c r="A92" s="7" t="n">
        <v>46310.5069444445</v>
      </c>
      <c r="B92" s="6" t="s">
        <v>117</v>
      </c>
      <c r="C92" s="6" t="s">
        <v>229</v>
      </c>
      <c r="D92" s="6" t="s">
        <v>230</v>
      </c>
      <c r="E92" s="6" t="str">
        <f aca="false">IFERROR(VLOOKUP(TRIM(SUBSTITUTE($D92,_xlfn.UNICHAR(160)," ")),CSDL_Virus!$A$2:$D$41,2,FALSE()),"Chưa phân loại")</f>
        <v>SilkLure</v>
      </c>
      <c r="F92" s="6" t="str">
        <f aca="false">IFERROR(VLOOKUP(TRIM(SUBSTITUTE($D92,_xlfn.UNICHAR(160)," ")),CSDL_Virus!$A$2:$D$41,3,FALSE()),"Chưa phân loại")</f>
        <v>Phishing kit</v>
      </c>
      <c r="G92" s="6" t="str">
        <f aca="false">IFERROR(VLOOKUP(TRIM(SUBSTITUTE($D92,_xlfn.UNICHAR(160)," ")),CSDL_Virus!$A$2:$D$41,4,FALSE()),"Chưa phân loại")</f>
        <v>Thấp</v>
      </c>
    </row>
    <row r="93" customFormat="false" ht="15" hidden="false" customHeight="false" outlineLevel="0" collapsed="false">
      <c r="A93" s="7" t="n">
        <v>46310.5833333333</v>
      </c>
      <c r="B93" s="6" t="s">
        <v>127</v>
      </c>
      <c r="C93" s="6" t="s">
        <v>231</v>
      </c>
      <c r="D93" s="6" t="s">
        <v>49</v>
      </c>
      <c r="E93" s="6" t="str">
        <f aca="false">IFERROR(VLOOKUP(TRIM(SUBSTITUTE($D93,_xlfn.UNICHAR(160)," ")),CSDL_Virus!$A$2:$D$41,2,FALSE()),"Chưa phân loại")</f>
        <v>CopperVeil</v>
      </c>
      <c r="F93" s="6" t="str">
        <f aca="false">IFERROR(VLOOKUP(TRIM(SUBSTITUTE($D93,_xlfn.UNICHAR(160)," ")),CSDL_Virus!$A$2:$D$41,3,FALSE()),"Chưa phân loại")</f>
        <v>Trojan</v>
      </c>
      <c r="G93" s="6" t="str">
        <f aca="false">IFERROR(VLOOKUP(TRIM(SUBSTITUTE($D93,_xlfn.UNICHAR(160)," ")),CSDL_Virus!$A$2:$D$41,4,FALSE()),"Chưa phân loại")</f>
        <v>Cao</v>
      </c>
    </row>
    <row r="94" customFormat="false" ht="15" hidden="false" customHeight="false" outlineLevel="0" collapsed="false">
      <c r="A94" s="7" t="n">
        <v>46310.6055555556</v>
      </c>
      <c r="B94" s="6" t="s">
        <v>119</v>
      </c>
      <c r="C94" s="6" t="s">
        <v>232</v>
      </c>
      <c r="D94" s="6" t="s">
        <v>233</v>
      </c>
      <c r="E94" s="6" t="str">
        <f aca="false">IFERROR(VLOOKUP(TRIM(SUBSTITUTE($D94,_xlfn.UNICHAR(160)," ")),CSDL_Virus!$A$2:$D$41,2,FALSE()),"Chưa phân loại")</f>
        <v>FakeDawn</v>
      </c>
      <c r="F94" s="6" t="str">
        <f aca="false">IFERROR(VLOOKUP(TRIM(SUBSTITUTE($D94,_xlfn.UNICHAR(160)," ")),CSDL_Virus!$A$2:$D$41,3,FALSE()),"Chưa phân loại")</f>
        <v>Phishing kit</v>
      </c>
      <c r="G94" s="6" t="str">
        <f aca="false">IFERROR(VLOOKUP(TRIM(SUBSTITUTE($D94,_xlfn.UNICHAR(160)," ")),CSDL_Virus!$A$2:$D$41,4,FALSE()),"Chưa phân loại")</f>
        <v>Trung bình</v>
      </c>
    </row>
    <row r="95" customFormat="false" ht="15" hidden="false" customHeight="false" outlineLevel="0" collapsed="false">
      <c r="A95" s="7" t="n">
        <v>46310.8486111111</v>
      </c>
      <c r="B95" s="6" t="s">
        <v>172</v>
      </c>
      <c r="C95" s="6" t="s">
        <v>234</v>
      </c>
      <c r="D95" s="6" t="s">
        <v>99</v>
      </c>
      <c r="E95" s="6" t="str">
        <f aca="false">IFERROR(VLOOKUP(TRIM(SUBSTITUTE($D95,_xlfn.UNICHAR(160)," ")),CSDL_Virus!$A$2:$D$41,2,FALSE()),"Chưa phân loại")</f>
        <v>FakeDawn</v>
      </c>
      <c r="F95" s="6" t="str">
        <f aca="false">IFERROR(VLOOKUP(TRIM(SUBSTITUTE($D95,_xlfn.UNICHAR(160)," ")),CSDL_Virus!$A$2:$D$41,3,FALSE()),"Chưa phân loại")</f>
        <v>Phishing kit</v>
      </c>
      <c r="G95" s="6" t="str">
        <f aca="false">IFERROR(VLOOKUP(TRIM(SUBSTITUTE($D95,_xlfn.UNICHAR(160)," ")),CSDL_Virus!$A$2:$D$41,4,FALSE()),"Chưa phân loại")</f>
        <v>Trung bình</v>
      </c>
    </row>
    <row r="96" customFormat="false" ht="15" hidden="false" customHeight="false" outlineLevel="0" collapsed="false">
      <c r="A96" s="7" t="n">
        <v>46310.8590277778</v>
      </c>
      <c r="B96" s="6" t="s">
        <v>119</v>
      </c>
      <c r="C96" s="6" t="s">
        <v>235</v>
      </c>
      <c r="D96" s="6" t="s">
        <v>40</v>
      </c>
      <c r="E96" s="6" t="str">
        <f aca="false">IFERROR(VLOOKUP(TRIM(SUBSTITUTE($D96,_xlfn.UNICHAR(160)," ")),CSDL_Virus!$A$2:$D$41,2,FALSE()),"Chưa phân loại")</f>
        <v>HollowDoor</v>
      </c>
      <c r="F96" s="6" t="str">
        <f aca="false">IFERROR(VLOOKUP(TRIM(SUBSTITUTE($D96,_xlfn.UNICHAR(160)," ")),CSDL_Virus!$A$2:$D$41,3,FALSE()),"Chưa phân loại")</f>
        <v>Trojan</v>
      </c>
      <c r="G96" s="6" t="str">
        <f aca="false">IFERROR(VLOOKUP(TRIM(SUBSTITUTE($D96,_xlfn.UNICHAR(160)," ")),CSDL_Virus!$A$2:$D$41,4,FALSE()),"Chưa phân loại")</f>
        <v>Cao</v>
      </c>
    </row>
    <row r="97" customFormat="false" ht="15" hidden="false" customHeight="false" outlineLevel="0" collapsed="false">
      <c r="A97" s="7" t="n">
        <v>46310.9916666667</v>
      </c>
      <c r="B97" s="6" t="s">
        <v>172</v>
      </c>
      <c r="C97" s="6" t="s">
        <v>236</v>
      </c>
      <c r="D97" s="6" t="s">
        <v>99</v>
      </c>
      <c r="E97" s="6" t="str">
        <f aca="false">IFERROR(VLOOKUP(TRIM(SUBSTITUTE($D97,_xlfn.UNICHAR(160)," ")),CSDL_Virus!$A$2:$D$41,2,FALSE()),"Chưa phân loại")</f>
        <v>FakeDawn</v>
      </c>
      <c r="F97" s="6" t="str">
        <f aca="false">IFERROR(VLOOKUP(TRIM(SUBSTITUTE($D97,_xlfn.UNICHAR(160)," ")),CSDL_Virus!$A$2:$D$41,3,FALSE()),"Chưa phân loại")</f>
        <v>Phishing kit</v>
      </c>
      <c r="G97" s="6" t="str">
        <f aca="false">IFERROR(VLOOKUP(TRIM(SUBSTITUTE($D97,_xlfn.UNICHAR(160)," ")),CSDL_Virus!$A$2:$D$41,4,FALSE()),"Chưa phân loại")</f>
        <v>Trung bình</v>
      </c>
    </row>
    <row r="98" customFormat="false" ht="15" hidden="false" customHeight="false" outlineLevel="0" collapsed="false">
      <c r="A98" s="7" t="n">
        <v>46311.0104166667</v>
      </c>
      <c r="B98" s="6" t="s">
        <v>141</v>
      </c>
      <c r="C98" s="6" t="s">
        <v>237</v>
      </c>
      <c r="D98" s="6" t="s">
        <v>90</v>
      </c>
      <c r="E98" s="6" t="str">
        <f aca="false">IFERROR(VLOOKUP(TRIM(SUBSTITUTE($D98,_xlfn.UNICHAR(160)," ")),CSDL_Virus!$A$2:$D$41,2,FALSE()),"Chưa phân loại")</f>
        <v>SlowForge</v>
      </c>
      <c r="F98" s="6" t="str">
        <f aca="false">IFERROR(VLOOKUP(TRIM(SUBSTITUTE($D98,_xlfn.UNICHAR(160)," ")),CSDL_Virus!$A$2:$D$41,3,FALSE()),"Chưa phân loại")</f>
        <v>Cryptominer</v>
      </c>
      <c r="G98" s="6" t="str">
        <f aca="false">IFERROR(VLOOKUP(TRIM(SUBSTITUTE($D98,_xlfn.UNICHAR(160)," ")),CSDL_Virus!$A$2:$D$41,4,FALSE()),"Chưa phân loại")</f>
        <v>Thấp</v>
      </c>
    </row>
    <row r="99" customFormat="false" ht="15" hidden="false" customHeight="false" outlineLevel="0" collapsed="false">
      <c r="A99" s="7" t="n">
        <v>46311.0430555556</v>
      </c>
      <c r="B99" s="6" t="s">
        <v>139</v>
      </c>
      <c r="C99" s="6" t="s">
        <v>238</v>
      </c>
      <c r="D99" s="6" t="s">
        <v>72</v>
      </c>
      <c r="E99" s="6" t="str">
        <f aca="false">IFERROR(VLOOKUP(TRIM(SUBSTITUTE($D99,_xlfn.UNICHAR(160)," ")),CSDL_Virus!$A$2:$D$41,2,FALSE()),"Chưa phân loại")</f>
        <v>PaperOwl</v>
      </c>
      <c r="F99" s="6" t="str">
        <f aca="false">IFERROR(VLOOKUP(TRIM(SUBSTITUTE($D99,_xlfn.UNICHAR(160)," ")),CSDL_Virus!$A$2:$D$41,3,FALSE()),"Chưa phân loại")</f>
        <v>Spyware</v>
      </c>
      <c r="G99" s="6" t="str">
        <f aca="false">IFERROR(VLOOKUP(TRIM(SUBSTITUTE($D99,_xlfn.UNICHAR(160)," ")),CSDL_Virus!$A$2:$D$41,4,FALSE()),"Chưa phân loại")</f>
        <v>Thấp</v>
      </c>
    </row>
    <row r="100" customFormat="false" ht="15" hidden="false" customHeight="false" outlineLevel="0" collapsed="false">
      <c r="A100" s="7" t="n">
        <v>46311.1597222222</v>
      </c>
      <c r="B100" s="6" t="s">
        <v>132</v>
      </c>
      <c r="C100" s="6" t="s">
        <v>239</v>
      </c>
      <c r="D100" s="6" t="s">
        <v>28</v>
      </c>
      <c r="E100" s="6" t="str">
        <f aca="false">IFERROR(VLOOKUP(TRIM(SUBSTITUTE($D100,_xlfn.UNICHAR(160)," ")),CSDL_Virus!$A$2:$D$41,2,FALSE()),"Chưa phân loại")</f>
        <v>VaultBite</v>
      </c>
      <c r="F100" s="6" t="str">
        <f aca="false">IFERROR(VLOOKUP(TRIM(SUBSTITUTE($D100,_xlfn.UNICHAR(160)," ")),CSDL_Virus!$A$2:$D$41,3,FALSE()),"Chưa phân loại")</f>
        <v>Ransomware</v>
      </c>
      <c r="G100" s="6" t="str">
        <f aca="false">IFERROR(VLOOKUP(TRIM(SUBSTITUTE($D100,_xlfn.UNICHAR(160)," ")),CSDL_Virus!$A$2:$D$41,4,FALSE()),"Chưa phân loại")</f>
        <v>Nghiêm trọng</v>
      </c>
    </row>
    <row r="101" customFormat="false" ht="15" hidden="false" customHeight="false" outlineLevel="0" collapsed="false">
      <c r="A101" s="7" t="n">
        <v>46311.2013888889</v>
      </c>
      <c r="B101" s="6" t="s">
        <v>141</v>
      </c>
      <c r="C101" s="6" t="s">
        <v>240</v>
      </c>
      <c r="D101" s="6" t="s">
        <v>58</v>
      </c>
      <c r="E101" s="6" t="str">
        <f aca="false">IFERROR(VLOOKUP(TRIM(SUBSTITUTE($D101,_xlfn.UNICHAR(160)," ")),CSDL_Virus!$A$2:$D$41,2,FALSE()),"Chưa phân loại")</f>
        <v>BrightFuse</v>
      </c>
      <c r="F101" s="6" t="str">
        <f aca="false">IFERROR(VLOOKUP(TRIM(SUBSTITUTE($D101,_xlfn.UNICHAR(160)," ")),CSDL_Virus!$A$2:$D$41,3,FALSE()),"Chưa phân loại")</f>
        <v>Worm</v>
      </c>
      <c r="G101" s="6" t="str">
        <f aca="false">IFERROR(VLOOKUP(TRIM(SUBSTITUTE($D101,_xlfn.UNICHAR(160)," ")),CSDL_Virus!$A$2:$D$41,4,FALSE()),"Chưa phân loại")</f>
        <v>Cao</v>
      </c>
    </row>
    <row r="102" customFormat="false" ht="15" hidden="false" customHeight="false" outlineLevel="0" collapsed="false">
      <c r="A102" s="7" t="n">
        <v>46311.2361111111</v>
      </c>
      <c r="B102" s="6" t="s">
        <v>141</v>
      </c>
      <c r="C102" s="6" t="s">
        <v>241</v>
      </c>
      <c r="D102" s="6" t="s">
        <v>37</v>
      </c>
      <c r="E102" s="6" t="str">
        <f aca="false">IFERROR(VLOOKUP(TRIM(SUBSTITUTE($D102,_xlfn.UNICHAR(160)," ")),CSDL_Virus!$A$2:$D$41,2,FALSE()),"Chưa phân loại")</f>
        <v>SilentBank</v>
      </c>
      <c r="F102" s="6" t="str">
        <f aca="false">IFERROR(VLOOKUP(TRIM(SUBSTITUTE($D102,_xlfn.UNICHAR(160)," ")),CSDL_Virus!$A$2:$D$41,3,FALSE()),"Chưa phân loại")</f>
        <v>Trojan</v>
      </c>
      <c r="G102" s="6" t="str">
        <f aca="false">IFERROR(VLOOKUP(TRIM(SUBSTITUTE($D102,_xlfn.UNICHAR(160)," ")),CSDL_Virus!$A$2:$D$41,4,FALSE()),"Chưa phân loại")</f>
        <v>Cao</v>
      </c>
    </row>
    <row r="103" customFormat="false" ht="15" hidden="false" customHeight="false" outlineLevel="0" collapsed="false">
      <c r="A103" s="7" t="n">
        <v>46311.2618055556</v>
      </c>
      <c r="B103" s="6" t="s">
        <v>127</v>
      </c>
      <c r="C103" s="6" t="s">
        <v>242</v>
      </c>
      <c r="D103" s="6" t="s">
        <v>63</v>
      </c>
      <c r="E103" s="6" t="str">
        <f aca="false">IFERROR(VLOOKUP(TRIM(SUBSTITUTE($D103,_xlfn.UNICHAR(160)," ")),CSDL_Virus!$A$2:$D$41,2,FALSE()),"Chưa phân loại")</f>
        <v>QuietEye</v>
      </c>
      <c r="F103" s="6" t="str">
        <f aca="false">IFERROR(VLOOKUP(TRIM(SUBSTITUTE($D103,_xlfn.UNICHAR(160)," ")),CSDL_Virus!$A$2:$D$41,3,FALSE()),"Chưa phân loại")</f>
        <v>Spyware</v>
      </c>
      <c r="G103" s="6" t="str">
        <f aca="false">IFERROR(VLOOKUP(TRIM(SUBSTITUTE($D103,_xlfn.UNICHAR(160)," ")),CSDL_Virus!$A$2:$D$41,4,FALSE()),"Chưa phân loại")</f>
        <v>Trung bình</v>
      </c>
    </row>
    <row r="104" customFormat="false" ht="15" hidden="false" customHeight="false" outlineLevel="0" collapsed="false">
      <c r="A104" s="7" t="n">
        <v>46311.2868055556</v>
      </c>
      <c r="B104" s="6" t="s">
        <v>127</v>
      </c>
      <c r="C104" s="6" t="s">
        <v>243</v>
      </c>
      <c r="D104" s="6" t="s">
        <v>37</v>
      </c>
      <c r="E104" s="6" t="str">
        <f aca="false">IFERROR(VLOOKUP(TRIM(SUBSTITUTE($D104,_xlfn.UNICHAR(160)," ")),CSDL_Virus!$A$2:$D$41,2,FALSE()),"Chưa phân loại")</f>
        <v>SilentBank</v>
      </c>
      <c r="F104" s="6" t="str">
        <f aca="false">IFERROR(VLOOKUP(TRIM(SUBSTITUTE($D104,_xlfn.UNICHAR(160)," ")),CSDL_Virus!$A$2:$D$41,3,FALSE()),"Chưa phân loại")</f>
        <v>Trojan</v>
      </c>
      <c r="G104" s="6" t="str">
        <f aca="false">IFERROR(VLOOKUP(TRIM(SUBSTITUTE($D104,_xlfn.UNICHAR(160)," ")),CSDL_Virus!$A$2:$D$41,4,FALSE()),"Chưa phân loại")</f>
        <v>Cao</v>
      </c>
    </row>
    <row r="105" customFormat="false" ht="15" hidden="false" customHeight="false" outlineLevel="0" collapsed="false">
      <c r="A105" s="7" t="n">
        <v>46311.31875</v>
      </c>
      <c r="B105" s="6" t="s">
        <v>139</v>
      </c>
      <c r="C105" s="6" t="s">
        <v>244</v>
      </c>
      <c r="D105" s="6" t="s">
        <v>47</v>
      </c>
      <c r="E105" s="6" t="str">
        <f aca="false">IFERROR(VLOOKUP(TRIM(SUBSTITUTE($D105,_xlfn.UNICHAR(160)," ")),CSDL_Virus!$A$2:$D$41,2,FALSE()),"Chưa phân loại")</f>
        <v>TwinShell</v>
      </c>
      <c r="F105" s="6" t="str">
        <f aca="false">IFERROR(VLOOKUP(TRIM(SUBSTITUTE($D105,_xlfn.UNICHAR(160)," ")),CSDL_Virus!$A$2:$D$41,3,FALSE()),"Chưa phân loại")</f>
        <v>Trojan</v>
      </c>
      <c r="G105" s="6" t="str">
        <f aca="false">IFERROR(VLOOKUP(TRIM(SUBSTITUTE($D105,_xlfn.UNICHAR(160)," ")),CSDL_Virus!$A$2:$D$41,4,FALSE()),"Chưa phân loại")</f>
        <v>Trung bình</v>
      </c>
    </row>
    <row r="106" customFormat="false" ht="15" hidden="false" customHeight="false" outlineLevel="0" collapsed="false">
      <c r="A106" s="7" t="n">
        <v>46311.3208333333</v>
      </c>
      <c r="B106" s="6" t="s">
        <v>141</v>
      </c>
      <c r="C106" s="6" t="s">
        <v>245</v>
      </c>
      <c r="D106" s="6" t="s">
        <v>96</v>
      </c>
      <c r="E106" s="6" t="str">
        <f aca="false">IFERROR(VLOOKUP(TRIM(SUBSTITUTE($D106,_xlfn.UNICHAR(160)," ")),CSDL_Virus!$A$2:$D$41,2,FALSE()),"Chưa phân loại")</f>
        <v>BaitCrate</v>
      </c>
      <c r="F106" s="6" t="str">
        <f aca="false">IFERROR(VLOOKUP(TRIM(SUBSTITUTE($D106,_xlfn.UNICHAR(160)," ")),CSDL_Virus!$A$2:$D$41,3,FALSE()),"Chưa phân loại")</f>
        <v>Phishing kit</v>
      </c>
      <c r="G106" s="6" t="str">
        <f aca="false">IFERROR(VLOOKUP(TRIM(SUBSTITUTE($D106,_xlfn.UNICHAR(160)," ")),CSDL_Virus!$A$2:$D$41,4,FALSE()),"Chưa phân loại")</f>
        <v>Cao</v>
      </c>
    </row>
    <row r="107" customFormat="false" ht="15" hidden="false" customHeight="false" outlineLevel="0" collapsed="false">
      <c r="A107" s="7" t="n">
        <v>46311.3277777778</v>
      </c>
      <c r="B107" s="6" t="s">
        <v>141</v>
      </c>
      <c r="C107" s="6" t="s">
        <v>246</v>
      </c>
      <c r="D107" s="6" t="s">
        <v>111</v>
      </c>
      <c r="E107" s="6" t="str">
        <f aca="false">IFERROR(VLOOKUP(TRIM(SUBSTITUTE($D107,_xlfn.UNICHAR(160)," ")),CSDL_Virus!$A$2:$D$41,2,FALSE()),"Chưa phân loại")</f>
        <v>AshMirror</v>
      </c>
      <c r="F107" s="6" t="str">
        <f aca="false">IFERROR(VLOOKUP(TRIM(SUBSTITUTE($D107,_xlfn.UNICHAR(160)," ")),CSDL_Virus!$A$2:$D$41,3,FALSE()),"Chưa phân loại")</f>
        <v>Spyware</v>
      </c>
      <c r="G107" s="6" t="str">
        <f aca="false">IFERROR(VLOOKUP(TRIM(SUBSTITUTE($D107,_xlfn.UNICHAR(160)," ")),CSDL_Virus!$A$2:$D$41,4,FALSE()),"Chưa phân loại")</f>
        <v>Cao</v>
      </c>
    </row>
    <row r="108" customFormat="false" ht="15" hidden="false" customHeight="false" outlineLevel="0" collapsed="false">
      <c r="A108" s="7" t="n">
        <v>46311.3388888889</v>
      </c>
      <c r="B108" s="6" t="s">
        <v>124</v>
      </c>
      <c r="C108" s="6" t="s">
        <v>247</v>
      </c>
      <c r="D108" s="6" t="s">
        <v>248</v>
      </c>
      <c r="E108" s="6" t="str">
        <f aca="false">IFERROR(VLOOKUP(TRIM(SUBSTITUTE($D108,_xlfn.UNICHAR(160)," ")),CSDL_Virus!$A$2:$D$41,2,FALSE()),"Chưa phân loại")</f>
        <v>BaitCrate</v>
      </c>
      <c r="F108" s="6" t="str">
        <f aca="false">IFERROR(VLOOKUP(TRIM(SUBSTITUTE($D108,_xlfn.UNICHAR(160)," ")),CSDL_Virus!$A$2:$D$41,3,FALSE()),"Chưa phân loại")</f>
        <v>Phishing kit</v>
      </c>
      <c r="G108" s="6" t="str">
        <f aca="false">IFERROR(VLOOKUP(TRIM(SUBSTITUTE($D108,_xlfn.UNICHAR(160)," ")),CSDL_Virus!$A$2:$D$41,4,FALSE()),"Chưa phân loại")</f>
        <v>Cao</v>
      </c>
    </row>
    <row r="109" customFormat="false" ht="15" hidden="false" customHeight="false" outlineLevel="0" collapsed="false">
      <c r="A109" s="7" t="n">
        <v>46311.4444444445</v>
      </c>
      <c r="B109" s="6" t="s">
        <v>127</v>
      </c>
      <c r="C109" s="6" t="s">
        <v>135</v>
      </c>
      <c r="D109" s="6" t="s">
        <v>88</v>
      </c>
      <c r="E109" s="6" t="str">
        <f aca="false">IFERROR(VLOOKUP(TRIM(SUBSTITUTE($D109,_xlfn.UNICHAR(160)," ")),CSDL_Virus!$A$2:$D$41,2,FALSE()),"Chưa phân loại")</f>
        <v>HeatLeech</v>
      </c>
      <c r="F109" s="6" t="str">
        <f aca="false">IFERROR(VLOOKUP(TRIM(SUBSTITUTE($D109,_xlfn.UNICHAR(160)," ")),CSDL_Virus!$A$2:$D$41,3,FALSE()),"Chưa phân loại")</f>
        <v>Cryptominer</v>
      </c>
      <c r="G109" s="6" t="str">
        <f aca="false">IFERROR(VLOOKUP(TRIM(SUBSTITUTE($D109,_xlfn.UNICHAR(160)," ")),CSDL_Virus!$A$2:$D$41,4,FALSE()),"Chưa phân loại")</f>
        <v>Trung bình</v>
      </c>
    </row>
    <row r="110" customFormat="false" ht="15" hidden="false" customHeight="false" outlineLevel="0" collapsed="false">
      <c r="A110" s="7" t="n">
        <v>46311.4729166667</v>
      </c>
      <c r="B110" s="6" t="s">
        <v>172</v>
      </c>
      <c r="C110" s="6" t="s">
        <v>249</v>
      </c>
      <c r="D110" s="6" t="s">
        <v>146</v>
      </c>
      <c r="E110" s="6" t="str">
        <f aca="false">IFERROR(VLOOKUP(TRIM(SUBSTITUTE($D110,_xlfn.UNICHAR(160)," ")),CSDL_Virus!$A$2:$D$41,2,FALSE()),"Chưa phân loại")</f>
        <v>Chưa phân loại</v>
      </c>
      <c r="F110" s="6" t="str">
        <f aca="false">IFERROR(VLOOKUP(TRIM(SUBSTITUTE($D110,_xlfn.UNICHAR(160)," ")),CSDL_Virus!$A$2:$D$41,3,FALSE()),"Chưa phân loại")</f>
        <v>Chưa phân loại</v>
      </c>
      <c r="G110" s="6" t="str">
        <f aca="false">IFERROR(VLOOKUP(TRIM(SUBSTITUTE($D110,_xlfn.UNICHAR(160)," ")),CSDL_Virus!$A$2:$D$41,4,FALSE()),"Chưa phân loại")</f>
        <v>Chưa phân loại</v>
      </c>
    </row>
    <row r="111" customFormat="false" ht="15" hidden="false" customHeight="false" outlineLevel="0" collapsed="false">
      <c r="A111" s="7" t="n">
        <v>46311.5166666667</v>
      </c>
      <c r="B111" s="6" t="s">
        <v>139</v>
      </c>
      <c r="C111" s="6" t="s">
        <v>250</v>
      </c>
      <c r="D111" s="6" t="s">
        <v>58</v>
      </c>
      <c r="E111" s="6" t="str">
        <f aca="false">IFERROR(VLOOKUP(TRIM(SUBSTITUTE($D111,_xlfn.UNICHAR(160)," ")),CSDL_Virus!$A$2:$D$41,2,FALSE()),"Chưa phân loại")</f>
        <v>BrightFuse</v>
      </c>
      <c r="F111" s="6" t="str">
        <f aca="false">IFERROR(VLOOKUP(TRIM(SUBSTITUTE($D111,_xlfn.UNICHAR(160)," ")),CSDL_Virus!$A$2:$D$41,3,FALSE()),"Chưa phân loại")</f>
        <v>Worm</v>
      </c>
      <c r="G111" s="6" t="str">
        <f aca="false">IFERROR(VLOOKUP(TRIM(SUBSTITUTE($D111,_xlfn.UNICHAR(160)," ")),CSDL_Virus!$A$2:$D$41,4,FALSE()),"Chưa phân loại")</f>
        <v>Cao</v>
      </c>
    </row>
    <row r="112" customFormat="false" ht="15" hidden="false" customHeight="false" outlineLevel="0" collapsed="false">
      <c r="A112" s="7" t="n">
        <v>46311.5166666667</v>
      </c>
      <c r="B112" s="6" t="s">
        <v>117</v>
      </c>
      <c r="C112" s="6" t="s">
        <v>251</v>
      </c>
      <c r="D112" s="6" t="s">
        <v>252</v>
      </c>
      <c r="E112" s="6" t="str">
        <f aca="false">IFERROR(VLOOKUP(TRIM(SUBSTITUTE($D112,_xlfn.UNICHAR(160)," ")),CSDL_Virus!$A$2:$D$41,2,FALSE()),"Chưa phân loại")</f>
        <v>CrimsonLoop</v>
      </c>
      <c r="F112" s="6" t="str">
        <f aca="false">IFERROR(VLOOKUP(TRIM(SUBSTITUTE($D112,_xlfn.UNICHAR(160)," ")),CSDL_Virus!$A$2:$D$41,3,FALSE()),"Chưa phân loại")</f>
        <v>Ransomware</v>
      </c>
      <c r="G112" s="6" t="str">
        <f aca="false">IFERROR(VLOOKUP(TRIM(SUBSTITUTE($D112,_xlfn.UNICHAR(160)," ")),CSDL_Virus!$A$2:$D$41,4,FALSE()),"Chưa phân loại")</f>
        <v>Nghiêm trọng</v>
      </c>
    </row>
    <row r="113" customFormat="false" ht="15" hidden="false" customHeight="false" outlineLevel="0" collapsed="false">
      <c r="A113" s="7" t="n">
        <v>46311.5576388889</v>
      </c>
      <c r="B113" s="6" t="s">
        <v>127</v>
      </c>
      <c r="C113" s="6" t="s">
        <v>253</v>
      </c>
      <c r="D113" s="6" t="s">
        <v>26</v>
      </c>
      <c r="E113" s="6" t="str">
        <f aca="false">IFERROR(VLOOKUP(TRIM(SUBSTITUTE($D113,_xlfn.UNICHAR(160)," ")),CSDL_Virus!$A$2:$D$41,2,FALSE()),"Chưa phân loại")</f>
        <v>CrimsonLoop</v>
      </c>
      <c r="F113" s="6" t="str">
        <f aca="false">IFERROR(VLOOKUP(TRIM(SUBSTITUTE($D113,_xlfn.UNICHAR(160)," ")),CSDL_Virus!$A$2:$D$41,3,FALSE()),"Chưa phân loại")</f>
        <v>Ransomware</v>
      </c>
      <c r="G113" s="6" t="str">
        <f aca="false">IFERROR(VLOOKUP(TRIM(SUBSTITUTE($D113,_xlfn.UNICHAR(160)," ")),CSDL_Virus!$A$2:$D$41,4,FALSE()),"Chưa phân loại")</f>
        <v>Nghiêm trọng</v>
      </c>
    </row>
    <row r="114" customFormat="false" ht="15" hidden="false" customHeight="false" outlineLevel="0" collapsed="false">
      <c r="A114" s="7" t="n">
        <v>46311.6090277778</v>
      </c>
      <c r="B114" s="6" t="s">
        <v>119</v>
      </c>
      <c r="C114" s="6" t="s">
        <v>254</v>
      </c>
      <c r="D114" s="6" t="s">
        <v>255</v>
      </c>
      <c r="E114" s="6" t="str">
        <f aca="false">IFERROR(VLOOKUP(TRIM(SUBSTITUTE($D114,_xlfn.UNICHAR(160)," ")),CSDL_Virus!$A$2:$D$41,2,FALSE()),"Chưa phân loại")</f>
        <v>PaleMask</v>
      </c>
      <c r="F114" s="6" t="str">
        <f aca="false">IFERROR(VLOOKUP(TRIM(SUBSTITUTE($D114,_xlfn.UNICHAR(160)," ")),CSDL_Virus!$A$2:$D$41,3,FALSE()),"Chưa phân loại")</f>
        <v>Trojan</v>
      </c>
      <c r="G114" s="6" t="str">
        <f aca="false">IFERROR(VLOOKUP(TRIM(SUBSTITUTE($D114,_xlfn.UNICHAR(160)," ")),CSDL_Virus!$A$2:$D$41,4,FALSE()),"Chưa phân loại")</f>
        <v>Trung bình</v>
      </c>
    </row>
    <row r="115" customFormat="false" ht="15" hidden="false" customHeight="false" outlineLevel="0" collapsed="false">
      <c r="A115" s="7" t="n">
        <v>46311.6409722222</v>
      </c>
      <c r="B115" s="6" t="s">
        <v>124</v>
      </c>
      <c r="C115" s="6" t="s">
        <v>256</v>
      </c>
      <c r="D115" s="6" t="s">
        <v>257</v>
      </c>
      <c r="E115" s="6" t="str">
        <f aca="false">IFERROR(VLOOKUP(TRIM(SUBSTITUTE($D115,_xlfn.UNICHAR(160)," ")),CSDL_Virus!$A$2:$D$41,2,FALSE()),"Chưa phân loại")</f>
        <v>DuskRelay</v>
      </c>
      <c r="F115" s="6" t="str">
        <f aca="false">IFERROR(VLOOKUP(TRIM(SUBSTITUTE($D115,_xlfn.UNICHAR(160)," ")),CSDL_Virus!$A$2:$D$41,3,FALSE()),"Chưa phân loại")</f>
        <v>Botnet</v>
      </c>
      <c r="G115" s="6" t="str">
        <f aca="false">IFERROR(VLOOKUP(TRIM(SUBSTITUTE($D115,_xlfn.UNICHAR(160)," ")),CSDL_Virus!$A$2:$D$41,4,FALSE()),"Chưa phân loại")</f>
        <v>Cao</v>
      </c>
    </row>
    <row r="116" customFormat="false" ht="15" hidden="false" customHeight="false" outlineLevel="0" collapsed="false">
      <c r="A116" s="7" t="n">
        <v>46311.7493055556</v>
      </c>
      <c r="B116" s="6" t="s">
        <v>117</v>
      </c>
      <c r="C116" s="6" t="s">
        <v>258</v>
      </c>
      <c r="D116" s="6" t="s">
        <v>60</v>
      </c>
      <c r="E116" s="6" t="str">
        <f aca="false">IFERROR(VLOOKUP(TRIM(SUBSTITUTE($D116,_xlfn.UNICHAR(160)," ")),CSDL_Virus!$A$2:$D$41,2,FALSE()),"Chưa phân loại")</f>
        <v>TideRoot</v>
      </c>
      <c r="F116" s="6" t="str">
        <f aca="false">IFERROR(VLOOKUP(TRIM(SUBSTITUTE($D116,_xlfn.UNICHAR(160)," ")),CSDL_Virus!$A$2:$D$41,3,FALSE()),"Chưa phân loại")</f>
        <v>Worm</v>
      </c>
      <c r="G116" s="6" t="str">
        <f aca="false">IFERROR(VLOOKUP(TRIM(SUBSTITUTE($D116,_xlfn.UNICHAR(160)," ")),CSDL_Virus!$A$2:$D$41,4,FALSE()),"Chưa phân loại")</f>
        <v>Thấp</v>
      </c>
    </row>
    <row r="117" customFormat="false" ht="15" hidden="false" customHeight="false" outlineLevel="0" collapsed="false">
      <c r="A117" s="7" t="n">
        <v>46311.7722222222</v>
      </c>
      <c r="B117" s="6" t="s">
        <v>127</v>
      </c>
      <c r="C117" s="6" t="s">
        <v>259</v>
      </c>
      <c r="D117" s="6" t="s">
        <v>51</v>
      </c>
      <c r="E117" s="6" t="str">
        <f aca="false">IFERROR(VLOOKUP(TRIM(SUBSTITUTE($D117,_xlfn.UNICHAR(160)," ")),CSDL_Virus!$A$2:$D$41,2,FALSE()),"Chưa phân loại")</f>
        <v>RiverSpark</v>
      </c>
      <c r="F117" s="6" t="str">
        <f aca="false">IFERROR(VLOOKUP(TRIM(SUBSTITUTE($D117,_xlfn.UNICHAR(160)," ")),CSDL_Virus!$A$2:$D$41,3,FALSE()),"Chưa phân loại")</f>
        <v>Worm</v>
      </c>
      <c r="G117" s="6" t="str">
        <f aca="false">IFERROR(VLOOKUP(TRIM(SUBSTITUTE($D117,_xlfn.UNICHAR(160)," ")),CSDL_Virus!$A$2:$D$41,4,FALSE()),"Chưa phân loại")</f>
        <v>Cao</v>
      </c>
    </row>
    <row r="118" customFormat="false" ht="15" hidden="false" customHeight="false" outlineLevel="0" collapsed="false">
      <c r="A118" s="7" t="n">
        <v>46311.7756944444</v>
      </c>
      <c r="B118" s="6" t="s">
        <v>119</v>
      </c>
      <c r="C118" s="6" t="s">
        <v>260</v>
      </c>
      <c r="D118" s="6" t="s">
        <v>63</v>
      </c>
      <c r="E118" s="6" t="str">
        <f aca="false">IFERROR(VLOOKUP(TRIM(SUBSTITUTE($D118,_xlfn.UNICHAR(160)," ")),CSDL_Virus!$A$2:$D$41,2,FALSE()),"Chưa phân loại")</f>
        <v>QuietEye</v>
      </c>
      <c r="F118" s="6" t="str">
        <f aca="false">IFERROR(VLOOKUP(TRIM(SUBSTITUTE($D118,_xlfn.UNICHAR(160)," ")),CSDL_Virus!$A$2:$D$41,3,FALSE()),"Chưa phân loại")</f>
        <v>Spyware</v>
      </c>
      <c r="G118" s="6" t="str">
        <f aca="false">IFERROR(VLOOKUP(TRIM(SUBSTITUTE($D118,_xlfn.UNICHAR(160)," ")),CSDL_Virus!$A$2:$D$41,4,FALSE()),"Chưa phân loại")</f>
        <v>Trung bình</v>
      </c>
    </row>
    <row r="119" customFormat="false" ht="15" hidden="false" customHeight="false" outlineLevel="0" collapsed="false">
      <c r="A119" s="7" t="n">
        <v>46311.7944444444</v>
      </c>
      <c r="B119" s="6" t="s">
        <v>127</v>
      </c>
      <c r="C119" s="6" t="s">
        <v>261</v>
      </c>
      <c r="D119" s="6" t="s">
        <v>105</v>
      </c>
      <c r="E119" s="6" t="str">
        <f aca="false">IFERROR(VLOOKUP(TRIM(SUBSTITUTE($D119,_xlfn.UNICHAR(160)," ")),CSDL_Virus!$A$2:$D$41,2,FALSE()),"Chưa phân loại")</f>
        <v>SilkLure</v>
      </c>
      <c r="F119" s="6" t="str">
        <f aca="false">IFERROR(VLOOKUP(TRIM(SUBSTITUTE($D119,_xlfn.UNICHAR(160)," ")),CSDL_Virus!$A$2:$D$41,3,FALSE()),"Chưa phân loại")</f>
        <v>Phishing kit</v>
      </c>
      <c r="G119" s="6" t="str">
        <f aca="false">IFERROR(VLOOKUP(TRIM(SUBSTITUTE($D119,_xlfn.UNICHAR(160)," ")),CSDL_Virus!$A$2:$D$41,4,FALSE()),"Chưa phân loại")</f>
        <v>Thấp</v>
      </c>
    </row>
    <row r="120" customFormat="false" ht="15" hidden="false" customHeight="false" outlineLevel="0" collapsed="false">
      <c r="A120" s="7" t="n">
        <v>46311.8326388889</v>
      </c>
      <c r="B120" s="6" t="s">
        <v>139</v>
      </c>
      <c r="C120" s="6" t="s">
        <v>130</v>
      </c>
      <c r="D120" s="6" t="s">
        <v>96</v>
      </c>
      <c r="E120" s="6" t="str">
        <f aca="false">IFERROR(VLOOKUP(TRIM(SUBSTITUTE($D120,_xlfn.UNICHAR(160)," ")),CSDL_Virus!$A$2:$D$41,2,FALSE()),"Chưa phân loại")</f>
        <v>BaitCrate</v>
      </c>
      <c r="F120" s="6" t="str">
        <f aca="false">IFERROR(VLOOKUP(TRIM(SUBSTITUTE($D120,_xlfn.UNICHAR(160)," ")),CSDL_Virus!$A$2:$D$41,3,FALSE()),"Chưa phân loại")</f>
        <v>Phishing kit</v>
      </c>
      <c r="G120" s="6" t="str">
        <f aca="false">IFERROR(VLOOKUP(TRIM(SUBSTITUTE($D120,_xlfn.UNICHAR(160)," ")),CSDL_Virus!$A$2:$D$41,4,FALSE()),"Chưa phân loại")</f>
        <v>Cao</v>
      </c>
    </row>
    <row r="121" customFormat="false" ht="15" hidden="false" customHeight="false" outlineLevel="0" collapsed="false">
      <c r="A121" s="7" t="n">
        <v>46311.84375</v>
      </c>
      <c r="B121" s="6" t="s">
        <v>127</v>
      </c>
      <c r="C121" s="6" t="s">
        <v>180</v>
      </c>
      <c r="D121" s="6" t="s">
        <v>77</v>
      </c>
      <c r="E121" s="6" t="str">
        <f aca="false">IFERROR(VLOOKUP(TRIM(SUBSTITUTE($D121,_xlfn.UNICHAR(160)," ")),CSDL_Virus!$A$2:$D$41,2,FALSE()),"Chưa phân loại")</f>
        <v>HiveNote</v>
      </c>
      <c r="F121" s="6" t="str">
        <f aca="false">IFERROR(VLOOKUP(TRIM(SUBSTITUTE($D121,_xlfn.UNICHAR(160)," ")),CSDL_Virus!$A$2:$D$41,3,FALSE()),"Chưa phân loại")</f>
        <v>Botnet</v>
      </c>
      <c r="G121" s="6" t="str">
        <f aca="false">IFERROR(VLOOKUP(TRIM(SUBSTITUTE($D121,_xlfn.UNICHAR(160)," ")),CSDL_Virus!$A$2:$D$41,4,FALSE()),"Chưa phân loại")</f>
        <v>Trung bình</v>
      </c>
    </row>
    <row r="122" customFormat="false" ht="15" hidden="false" customHeight="false" outlineLevel="0" collapsed="false">
      <c r="A122" s="7" t="n">
        <v>46311.8520833333</v>
      </c>
      <c r="B122" s="6" t="s">
        <v>172</v>
      </c>
      <c r="C122" s="6" t="s">
        <v>262</v>
      </c>
      <c r="D122" s="6" t="s">
        <v>54</v>
      </c>
      <c r="E122" s="6" t="str">
        <f aca="false">IFERROR(VLOOKUP(TRIM(SUBSTITUTE($D122,_xlfn.UNICHAR(160)," ")),CSDL_Virus!$A$2:$D$41,2,FALSE()),"Chưa phân loại")</f>
        <v>LongCrawl</v>
      </c>
      <c r="F122" s="6" t="str">
        <f aca="false">IFERROR(VLOOKUP(TRIM(SUBSTITUTE($D122,_xlfn.UNICHAR(160)," ")),CSDL_Virus!$A$2:$D$41,3,FALSE()),"Chưa phân loại")</f>
        <v>Worm</v>
      </c>
      <c r="G122" s="6" t="str">
        <f aca="false">IFERROR(VLOOKUP(TRIM(SUBSTITUTE($D122,_xlfn.UNICHAR(160)," ")),CSDL_Virus!$A$2:$D$41,4,FALSE()),"Chưa phân loại")</f>
        <v>Trung bình</v>
      </c>
    </row>
    <row r="123" customFormat="false" ht="15" hidden="false" customHeight="false" outlineLevel="0" collapsed="false">
      <c r="A123" s="7" t="n">
        <v>46311.8583333333</v>
      </c>
      <c r="B123" s="6" t="s">
        <v>124</v>
      </c>
      <c r="C123" s="6" t="s">
        <v>263</v>
      </c>
      <c r="D123" s="6" t="s">
        <v>33</v>
      </c>
      <c r="E123" s="6" t="str">
        <f aca="false">IFERROR(VLOOKUP(TRIM(SUBSTITUTE($D123,_xlfn.UNICHAR(160)," ")),CSDL_Virus!$A$2:$D$41,2,FALSE()),"Chưa phân loại")</f>
        <v>NullLatch</v>
      </c>
      <c r="F123" s="6" t="str">
        <f aca="false">IFERROR(VLOOKUP(TRIM(SUBSTITUTE($D123,_xlfn.UNICHAR(160)," ")),CSDL_Virus!$A$2:$D$41,3,FALSE()),"Chưa phân loại")</f>
        <v>Ransomware</v>
      </c>
      <c r="G123" s="6" t="str">
        <f aca="false">IFERROR(VLOOKUP(TRIM(SUBSTITUTE($D123,_xlfn.UNICHAR(160)," ")),CSDL_Virus!$A$2:$D$41,4,FALSE()),"Chưa phân loại")</f>
        <v>Cao</v>
      </c>
    </row>
    <row r="124" customFormat="false" ht="15" hidden="false" customHeight="false" outlineLevel="0" collapsed="false">
      <c r="A124" s="7" t="n">
        <v>46311.8736111111</v>
      </c>
      <c r="B124" s="6" t="s">
        <v>127</v>
      </c>
      <c r="C124" s="6" t="s">
        <v>264</v>
      </c>
      <c r="D124" s="6" t="s">
        <v>51</v>
      </c>
      <c r="E124" s="6" t="str">
        <f aca="false">IFERROR(VLOOKUP(TRIM(SUBSTITUTE($D124,_xlfn.UNICHAR(160)," ")),CSDL_Virus!$A$2:$D$41,2,FALSE()),"Chưa phân loại")</f>
        <v>RiverSpark</v>
      </c>
      <c r="F124" s="6" t="str">
        <f aca="false">IFERROR(VLOOKUP(TRIM(SUBSTITUTE($D124,_xlfn.UNICHAR(160)," ")),CSDL_Virus!$A$2:$D$41,3,FALSE()),"Chưa phân loại")</f>
        <v>Worm</v>
      </c>
      <c r="G124" s="6" t="str">
        <f aca="false">IFERROR(VLOOKUP(TRIM(SUBSTITUTE($D124,_xlfn.UNICHAR(160)," ")),CSDL_Virus!$A$2:$D$41,4,FALSE()),"Chưa phân loại")</f>
        <v>Cao</v>
      </c>
    </row>
    <row r="125" customFormat="false" ht="15" hidden="false" customHeight="false" outlineLevel="0" collapsed="false">
      <c r="A125" s="7" t="n">
        <v>46311.9965277778</v>
      </c>
      <c r="B125" s="6" t="s">
        <v>127</v>
      </c>
      <c r="C125" s="6" t="s">
        <v>265</v>
      </c>
      <c r="D125" s="6" t="s">
        <v>58</v>
      </c>
      <c r="E125" s="6" t="str">
        <f aca="false">IFERROR(VLOOKUP(TRIM(SUBSTITUTE($D125,_xlfn.UNICHAR(160)," ")),CSDL_Virus!$A$2:$D$41,2,FALSE()),"Chưa phân loại")</f>
        <v>BrightFuse</v>
      </c>
      <c r="F125" s="6" t="str">
        <f aca="false">IFERROR(VLOOKUP(TRIM(SUBSTITUTE($D125,_xlfn.UNICHAR(160)," ")),CSDL_Virus!$A$2:$D$41,3,FALSE()),"Chưa phân loại")</f>
        <v>Worm</v>
      </c>
      <c r="G125" s="6" t="str">
        <f aca="false">IFERROR(VLOOKUP(TRIM(SUBSTITUTE($D125,_xlfn.UNICHAR(160)," ")),CSDL_Virus!$A$2:$D$41,4,FALSE()),"Chưa phân loại")</f>
        <v>Cao</v>
      </c>
    </row>
    <row r="126" customFormat="false" ht="15" hidden="false" customHeight="false" outlineLevel="0" collapsed="false">
      <c r="A126" s="7" t="n">
        <v>46312.1965277778</v>
      </c>
      <c r="B126" s="6" t="s">
        <v>119</v>
      </c>
      <c r="C126" s="6" t="s">
        <v>266</v>
      </c>
      <c r="D126" s="6" t="s">
        <v>267</v>
      </c>
      <c r="E126" s="6" t="str">
        <f aca="false">IFERROR(VLOOKUP(TRIM(SUBSTITUTE($D126,_xlfn.UNICHAR(160)," ")),CSDL_Virus!$A$2:$D$41,2,FALSE()),"Chưa phân loại")</f>
        <v>DeepTick</v>
      </c>
      <c r="F126" s="6" t="str">
        <f aca="false">IFERROR(VLOOKUP(TRIM(SUBSTITUTE($D126,_xlfn.UNICHAR(160)," ")),CSDL_Virus!$A$2:$D$41,3,FALSE()),"Chưa phân loại")</f>
        <v>Cryptominer</v>
      </c>
      <c r="G126" s="6" t="str">
        <f aca="false">IFERROR(VLOOKUP(TRIM(SUBSTITUTE($D126,_xlfn.UNICHAR(160)," ")),CSDL_Virus!$A$2:$D$41,4,FALSE()),"Chưa phân loại")</f>
        <v>Trung bình</v>
      </c>
    </row>
    <row r="127" customFormat="false" ht="15" hidden="false" customHeight="false" outlineLevel="0" collapsed="false">
      <c r="A127" s="7" t="n">
        <v>46312.1972222222</v>
      </c>
      <c r="B127" s="6" t="s">
        <v>124</v>
      </c>
      <c r="C127" s="6" t="s">
        <v>268</v>
      </c>
      <c r="D127" s="6" t="s">
        <v>60</v>
      </c>
      <c r="E127" s="6" t="str">
        <f aca="false">IFERROR(VLOOKUP(TRIM(SUBSTITUTE($D127,_xlfn.UNICHAR(160)," ")),CSDL_Virus!$A$2:$D$41,2,FALSE()),"Chưa phân loại")</f>
        <v>TideRoot</v>
      </c>
      <c r="F127" s="6" t="str">
        <f aca="false">IFERROR(VLOOKUP(TRIM(SUBSTITUTE($D127,_xlfn.UNICHAR(160)," ")),CSDL_Virus!$A$2:$D$41,3,FALSE()),"Chưa phân loại")</f>
        <v>Worm</v>
      </c>
      <c r="G127" s="6" t="str">
        <f aca="false">IFERROR(VLOOKUP(TRIM(SUBSTITUTE($D127,_xlfn.UNICHAR(160)," ")),CSDL_Virus!$A$2:$D$41,4,FALSE()),"Chưa phân loại")</f>
        <v>Thấp</v>
      </c>
    </row>
    <row r="128" customFormat="false" ht="15" hidden="false" customHeight="false" outlineLevel="0" collapsed="false">
      <c r="A128" s="7" t="n">
        <v>46312.2256944445</v>
      </c>
      <c r="B128" s="6" t="s">
        <v>132</v>
      </c>
      <c r="C128" s="6" t="s">
        <v>269</v>
      </c>
      <c r="D128" s="6" t="s">
        <v>35</v>
      </c>
      <c r="E128" s="6" t="str">
        <f aca="false">IFERROR(VLOOKUP(TRIM(SUBSTITUTE($D128,_xlfn.UNICHAR(160)," ")),CSDL_Virus!$A$2:$D$41,2,FALSE()),"Chưa phân loại")</f>
        <v>GrimSeal</v>
      </c>
      <c r="F128" s="6" t="str">
        <f aca="false">IFERROR(VLOOKUP(TRIM(SUBSTITUTE($D128,_xlfn.UNICHAR(160)," ")),CSDL_Virus!$A$2:$D$41,3,FALSE()),"Chưa phân loại")</f>
        <v>Ransomware</v>
      </c>
      <c r="G128" s="6" t="str">
        <f aca="false">IFERROR(VLOOKUP(TRIM(SUBSTITUTE($D128,_xlfn.UNICHAR(160)," ")),CSDL_Virus!$A$2:$D$41,4,FALSE()),"Chưa phân loại")</f>
        <v>Cao</v>
      </c>
    </row>
    <row r="129" customFormat="false" ht="15" hidden="false" customHeight="false" outlineLevel="0" collapsed="false">
      <c r="A129" s="7" t="n">
        <v>46312.2381944444</v>
      </c>
      <c r="B129" s="6" t="s">
        <v>141</v>
      </c>
      <c r="C129" s="6" t="s">
        <v>270</v>
      </c>
      <c r="D129" s="6" t="s">
        <v>58</v>
      </c>
      <c r="E129" s="6" t="str">
        <f aca="false">IFERROR(VLOOKUP(TRIM(SUBSTITUTE($D129,_xlfn.UNICHAR(160)," ")),CSDL_Virus!$A$2:$D$41,2,FALSE()),"Chưa phân loại")</f>
        <v>BrightFuse</v>
      </c>
      <c r="F129" s="6" t="str">
        <f aca="false">IFERROR(VLOOKUP(TRIM(SUBSTITUTE($D129,_xlfn.UNICHAR(160)," ")),CSDL_Virus!$A$2:$D$41,3,FALSE()),"Chưa phân loại")</f>
        <v>Worm</v>
      </c>
      <c r="G129" s="6" t="str">
        <f aca="false">IFERROR(VLOOKUP(TRIM(SUBSTITUTE($D129,_xlfn.UNICHAR(160)," ")),CSDL_Virus!$A$2:$D$41,4,FALSE()),"Chưa phân loại")</f>
        <v>Cao</v>
      </c>
    </row>
    <row r="130" customFormat="false" ht="15" hidden="false" customHeight="false" outlineLevel="0" collapsed="false">
      <c r="A130" s="7" t="n">
        <v>46312.3166666667</v>
      </c>
      <c r="B130" s="6" t="s">
        <v>139</v>
      </c>
      <c r="C130" s="6" t="s">
        <v>271</v>
      </c>
      <c r="D130" s="6" t="s">
        <v>51</v>
      </c>
      <c r="E130" s="6" t="str">
        <f aca="false">IFERROR(VLOOKUP(TRIM(SUBSTITUTE($D130,_xlfn.UNICHAR(160)," ")),CSDL_Virus!$A$2:$D$41,2,FALSE()),"Chưa phân loại")</f>
        <v>RiverSpark</v>
      </c>
      <c r="F130" s="6" t="str">
        <f aca="false">IFERROR(VLOOKUP(TRIM(SUBSTITUTE($D130,_xlfn.UNICHAR(160)," ")),CSDL_Virus!$A$2:$D$41,3,FALSE()),"Chưa phân loại")</f>
        <v>Worm</v>
      </c>
      <c r="G130" s="6" t="str">
        <f aca="false">IFERROR(VLOOKUP(TRIM(SUBSTITUTE($D130,_xlfn.UNICHAR(160)," ")),CSDL_Virus!$A$2:$D$41,4,FALSE()),"Chưa phân loại")</f>
        <v>Cao</v>
      </c>
    </row>
    <row r="131" customFormat="false" ht="15" hidden="false" customHeight="false" outlineLevel="0" collapsed="false">
      <c r="A131" s="7" t="n">
        <v>46312.425</v>
      </c>
      <c r="B131" s="6" t="s">
        <v>141</v>
      </c>
      <c r="C131" s="6" t="s">
        <v>272</v>
      </c>
      <c r="D131" s="6" t="s">
        <v>107</v>
      </c>
      <c r="E131" s="6" t="str">
        <f aca="false">IFERROR(VLOOKUP(TRIM(SUBSTITUTE($D131,_xlfn.UNICHAR(160)," ")),CSDL_Virus!$A$2:$D$41,2,FALSE()),"Chưa phân loại")</f>
        <v>DeepAnchor</v>
      </c>
      <c r="F131" s="6" t="str">
        <f aca="false">IFERROR(VLOOKUP(TRIM(SUBSTITUTE($D131,_xlfn.UNICHAR(160)," ")),CSDL_Virus!$A$2:$D$41,3,FALSE()),"Chưa phân loại")</f>
        <v>Ransomware</v>
      </c>
      <c r="G131" s="6" t="str">
        <f aca="false">IFERROR(VLOOKUP(TRIM(SUBSTITUTE($D131,_xlfn.UNICHAR(160)," ")),CSDL_Virus!$A$2:$D$41,4,FALSE()),"Chưa phân loại")</f>
        <v>Nghiêm trọng</v>
      </c>
    </row>
    <row r="132" customFormat="false" ht="15" hidden="false" customHeight="false" outlineLevel="0" collapsed="false">
      <c r="A132" s="7" t="n">
        <v>46312.4944444444</v>
      </c>
      <c r="B132" s="6" t="s">
        <v>139</v>
      </c>
      <c r="C132" s="6" t="s">
        <v>273</v>
      </c>
      <c r="D132" s="6" t="s">
        <v>274</v>
      </c>
      <c r="E132" s="6" t="str">
        <f aca="false">IFERROR(VLOOKUP(TRIM(SUBSTITUTE($D132,_xlfn.UNICHAR(160)," ")),CSDL_Virus!$A$2:$D$41,2,FALSE()),"Chưa phân loại")</f>
        <v>SilkLure</v>
      </c>
      <c r="F132" s="6" t="str">
        <f aca="false">IFERROR(VLOOKUP(TRIM(SUBSTITUTE($D132,_xlfn.UNICHAR(160)," ")),CSDL_Virus!$A$2:$D$41,3,FALSE()),"Chưa phân loại")</f>
        <v>Phishing kit</v>
      </c>
      <c r="G132" s="6" t="str">
        <f aca="false">IFERROR(VLOOKUP(TRIM(SUBSTITUTE($D132,_xlfn.UNICHAR(160)," ")),CSDL_Virus!$A$2:$D$41,4,FALSE()),"Chưa phân loại")</f>
        <v>Thấp</v>
      </c>
    </row>
    <row r="133" customFormat="false" ht="15" hidden="false" customHeight="false" outlineLevel="0" collapsed="false">
      <c r="A133" s="7" t="n">
        <v>46312.5048611111</v>
      </c>
      <c r="B133" s="6" t="s">
        <v>124</v>
      </c>
      <c r="C133" s="6" t="s">
        <v>214</v>
      </c>
      <c r="D133" s="6" t="s">
        <v>275</v>
      </c>
      <c r="E133" s="6" t="str">
        <f aca="false">IFERROR(VLOOKUP(TRIM(SUBSTITUTE($D133,_xlfn.UNICHAR(160)," ")),CSDL_Virus!$A$2:$D$41,2,FALSE()),"Chưa phân loại")</f>
        <v>DeepTick</v>
      </c>
      <c r="F133" s="6" t="str">
        <f aca="false">IFERROR(VLOOKUP(TRIM(SUBSTITUTE($D133,_xlfn.UNICHAR(160)," ")),CSDL_Virus!$A$2:$D$41,3,FALSE()),"Chưa phân loại")</f>
        <v>Cryptominer</v>
      </c>
      <c r="G133" s="6" t="str">
        <f aca="false">IFERROR(VLOOKUP(TRIM(SUBSTITUTE($D133,_xlfn.UNICHAR(160)," ")),CSDL_Virus!$A$2:$D$41,4,FALSE()),"Chưa phân loại")</f>
        <v>Trung bình</v>
      </c>
    </row>
    <row r="134" customFormat="false" ht="15" hidden="false" customHeight="false" outlineLevel="0" collapsed="false">
      <c r="A134" s="7" t="n">
        <v>46312.5298611111</v>
      </c>
      <c r="B134" s="6" t="s">
        <v>139</v>
      </c>
      <c r="C134" s="6" t="s">
        <v>208</v>
      </c>
      <c r="D134" s="6" t="s">
        <v>107</v>
      </c>
      <c r="E134" s="6" t="str">
        <f aca="false">IFERROR(VLOOKUP(TRIM(SUBSTITUTE($D134,_xlfn.UNICHAR(160)," ")),CSDL_Virus!$A$2:$D$41,2,FALSE()),"Chưa phân loại")</f>
        <v>DeepAnchor</v>
      </c>
      <c r="F134" s="6" t="str">
        <f aca="false">IFERROR(VLOOKUP(TRIM(SUBSTITUTE($D134,_xlfn.UNICHAR(160)," ")),CSDL_Virus!$A$2:$D$41,3,FALSE()),"Chưa phân loại")</f>
        <v>Ransomware</v>
      </c>
      <c r="G134" s="6" t="str">
        <f aca="false">IFERROR(VLOOKUP(TRIM(SUBSTITUTE($D134,_xlfn.UNICHAR(160)," ")),CSDL_Virus!$A$2:$D$41,4,FALSE()),"Chưa phân loại")</f>
        <v>Nghiêm trọng</v>
      </c>
    </row>
    <row r="135" customFormat="false" ht="15" hidden="false" customHeight="false" outlineLevel="0" collapsed="false">
      <c r="A135" s="7" t="n">
        <v>46312.60625</v>
      </c>
      <c r="B135" s="6" t="s">
        <v>124</v>
      </c>
      <c r="C135" s="6" t="s">
        <v>276</v>
      </c>
      <c r="D135" s="6" t="s">
        <v>92</v>
      </c>
      <c r="E135" s="6" t="str">
        <f aca="false">IFERROR(VLOOKUP(TRIM(SUBSTITUTE($D135,_xlfn.UNICHAR(160)," ")),CSDL_Virus!$A$2:$D$41,2,FALSE()),"Chưa phân loại")</f>
        <v>DeepTick</v>
      </c>
      <c r="F135" s="6" t="str">
        <f aca="false">IFERROR(VLOOKUP(TRIM(SUBSTITUTE($D135,_xlfn.UNICHAR(160)," ")),CSDL_Virus!$A$2:$D$41,3,FALSE()),"Chưa phân loại")</f>
        <v>Cryptominer</v>
      </c>
      <c r="G135" s="6" t="str">
        <f aca="false">IFERROR(VLOOKUP(TRIM(SUBSTITUTE($D135,_xlfn.UNICHAR(160)," ")),CSDL_Virus!$A$2:$D$41,4,FALSE()),"Chưa phân loại")</f>
        <v>Trung bình</v>
      </c>
    </row>
    <row r="136" customFormat="false" ht="15" hidden="false" customHeight="false" outlineLevel="0" collapsed="false">
      <c r="A136" s="7" t="n">
        <v>46312.6673611111</v>
      </c>
      <c r="B136" s="6" t="s">
        <v>124</v>
      </c>
      <c r="C136" s="6" t="s">
        <v>277</v>
      </c>
      <c r="D136" s="6" t="s">
        <v>103</v>
      </c>
      <c r="E136" s="6" t="str">
        <f aca="false">IFERROR(VLOOKUP(TRIM(SUBSTITUTE($D136,_xlfn.UNICHAR(160)," ")),CSDL_Virus!$A$2:$D$41,2,FALSE()),"Chưa phân loại")</f>
        <v>MirrorPage</v>
      </c>
      <c r="F136" s="6" t="str">
        <f aca="false">IFERROR(VLOOKUP(TRIM(SUBSTITUTE($D136,_xlfn.UNICHAR(160)," ")),CSDL_Virus!$A$2:$D$41,3,FALSE()),"Chưa phân loại")</f>
        <v>Phishing kit</v>
      </c>
      <c r="G136" s="6" t="str">
        <f aca="false">IFERROR(VLOOKUP(TRIM(SUBSTITUTE($D136,_xlfn.UNICHAR(160)," ")),CSDL_Virus!$A$2:$D$41,4,FALSE()),"Chưa phân loại")</f>
        <v>Trung bình</v>
      </c>
    </row>
    <row r="137" customFormat="false" ht="15" hidden="false" customHeight="false" outlineLevel="0" collapsed="false">
      <c r="A137" s="7" t="n">
        <v>46312.6770833333</v>
      </c>
      <c r="B137" s="6" t="s">
        <v>124</v>
      </c>
      <c r="C137" s="6" t="s">
        <v>278</v>
      </c>
      <c r="D137" s="6" t="s">
        <v>85</v>
      </c>
      <c r="E137" s="6" t="str">
        <f aca="false">IFERROR(VLOOKUP(TRIM(SUBSTITUTE($D137,_xlfn.UNICHAR(160)," ")),CSDL_Virus!$A$2:$D$41,2,FALSE()),"Chưa phân loại")</f>
        <v>CoinMoth</v>
      </c>
      <c r="F137" s="6" t="str">
        <f aca="false">IFERROR(VLOOKUP(TRIM(SUBSTITUTE($D137,_xlfn.UNICHAR(160)," ")),CSDL_Virus!$A$2:$D$41,3,FALSE()),"Chưa phân loại")</f>
        <v>Cryptominer</v>
      </c>
      <c r="G137" s="6" t="str">
        <f aca="false">IFERROR(VLOOKUP(TRIM(SUBSTITUTE($D137,_xlfn.UNICHAR(160)," ")),CSDL_Virus!$A$2:$D$41,4,FALSE()),"Chưa phân loại")</f>
        <v>Thấp</v>
      </c>
    </row>
    <row r="138" customFormat="false" ht="15" hidden="false" customHeight="false" outlineLevel="0" collapsed="false">
      <c r="A138" s="7" t="n">
        <v>46312.7020833333</v>
      </c>
      <c r="B138" s="6" t="s">
        <v>172</v>
      </c>
      <c r="C138" s="6" t="s">
        <v>204</v>
      </c>
      <c r="D138" s="6" t="s">
        <v>279</v>
      </c>
      <c r="E138" s="6" t="str">
        <f aca="false">IFERROR(VLOOKUP(TRIM(SUBSTITUTE($D138,_xlfn.UNICHAR(160)," ")),CSDL_Virus!$A$2:$D$41,2,FALSE()),"Chưa phân loại")</f>
        <v>DeepTick</v>
      </c>
      <c r="F138" s="6" t="str">
        <f aca="false">IFERROR(VLOOKUP(TRIM(SUBSTITUTE($D138,_xlfn.UNICHAR(160)," ")),CSDL_Virus!$A$2:$D$41,3,FALSE()),"Chưa phân loại")</f>
        <v>Cryptominer</v>
      </c>
      <c r="G138" s="6" t="str">
        <f aca="false">IFERROR(VLOOKUP(TRIM(SUBSTITUTE($D138,_xlfn.UNICHAR(160)," ")),CSDL_Virus!$A$2:$D$41,4,FALSE()),"Chưa phân loại")</f>
        <v>Trung bình</v>
      </c>
    </row>
    <row r="139" customFormat="false" ht="15" hidden="false" customHeight="false" outlineLevel="0" collapsed="false">
      <c r="A139" s="7" t="n">
        <v>46312.7791666667</v>
      </c>
      <c r="B139" s="6" t="s">
        <v>119</v>
      </c>
      <c r="C139" s="6" t="s">
        <v>280</v>
      </c>
      <c r="D139" s="6" t="s">
        <v>111</v>
      </c>
      <c r="E139" s="6" t="str">
        <f aca="false">IFERROR(VLOOKUP(TRIM(SUBSTITUTE($D139,_xlfn.UNICHAR(160)," ")),CSDL_Virus!$A$2:$D$41,2,FALSE()),"Chưa phân loại")</f>
        <v>AshMirror</v>
      </c>
      <c r="F139" s="6" t="str">
        <f aca="false">IFERROR(VLOOKUP(TRIM(SUBSTITUTE($D139,_xlfn.UNICHAR(160)," ")),CSDL_Virus!$A$2:$D$41,3,FALSE()),"Chưa phân loại")</f>
        <v>Spyware</v>
      </c>
      <c r="G139" s="6" t="str">
        <f aca="false">IFERROR(VLOOKUP(TRIM(SUBSTITUTE($D139,_xlfn.UNICHAR(160)," ")),CSDL_Virus!$A$2:$D$41,4,FALSE()),"Chưa phân loại")</f>
        <v>Cao</v>
      </c>
    </row>
    <row r="140" customFormat="false" ht="15" hidden="false" customHeight="false" outlineLevel="0" collapsed="false">
      <c r="A140" s="7" t="n">
        <v>46312.80625</v>
      </c>
      <c r="B140" s="6" t="s">
        <v>141</v>
      </c>
      <c r="C140" s="6" t="s">
        <v>246</v>
      </c>
      <c r="D140" s="6" t="s">
        <v>275</v>
      </c>
      <c r="E140" s="6" t="str">
        <f aca="false">IFERROR(VLOOKUP(TRIM(SUBSTITUTE($D140,_xlfn.UNICHAR(160)," ")),CSDL_Virus!$A$2:$D$41,2,FALSE()),"Chưa phân loại")</f>
        <v>DeepTick</v>
      </c>
      <c r="F140" s="6" t="str">
        <f aca="false">IFERROR(VLOOKUP(TRIM(SUBSTITUTE($D140,_xlfn.UNICHAR(160)," ")),CSDL_Virus!$A$2:$D$41,3,FALSE()),"Chưa phân loại")</f>
        <v>Cryptominer</v>
      </c>
      <c r="G140" s="6" t="str">
        <f aca="false">IFERROR(VLOOKUP(TRIM(SUBSTITUTE($D140,_xlfn.UNICHAR(160)," ")),CSDL_Virus!$A$2:$D$41,4,FALSE()),"Chưa phân loại")</f>
        <v>Trung bình</v>
      </c>
    </row>
    <row r="141" customFormat="false" ht="15" hidden="false" customHeight="false" outlineLevel="0" collapsed="false">
      <c r="A141" s="7" t="n">
        <v>46312.8215277778</v>
      </c>
      <c r="B141" s="6" t="s">
        <v>117</v>
      </c>
      <c r="C141" s="6" t="s">
        <v>281</v>
      </c>
      <c r="D141" s="6" t="s">
        <v>40</v>
      </c>
      <c r="E141" s="6" t="str">
        <f aca="false">IFERROR(VLOOKUP(TRIM(SUBSTITUTE($D141,_xlfn.UNICHAR(160)," ")),CSDL_Virus!$A$2:$D$41,2,FALSE()),"Chưa phân loại")</f>
        <v>HollowDoor</v>
      </c>
      <c r="F141" s="6" t="str">
        <f aca="false">IFERROR(VLOOKUP(TRIM(SUBSTITUTE($D141,_xlfn.UNICHAR(160)," ")),CSDL_Virus!$A$2:$D$41,3,FALSE()),"Chưa phân loại")</f>
        <v>Trojan</v>
      </c>
      <c r="G141" s="6" t="str">
        <f aca="false">IFERROR(VLOOKUP(TRIM(SUBSTITUTE($D141,_xlfn.UNICHAR(160)," ")),CSDL_Virus!$A$2:$D$41,4,FALSE()),"Chưa phân loại")</f>
        <v>Cao</v>
      </c>
    </row>
    <row r="142" customFormat="false" ht="15" hidden="false" customHeight="false" outlineLevel="0" collapsed="false">
      <c r="A142" s="7" t="n">
        <v>46312.8472222222</v>
      </c>
      <c r="B142" s="6" t="s">
        <v>124</v>
      </c>
      <c r="C142" s="6" t="s">
        <v>266</v>
      </c>
      <c r="D142" s="6" t="s">
        <v>282</v>
      </c>
      <c r="E142" s="6" t="str">
        <f aca="false">IFERROR(VLOOKUP(TRIM(SUBSTITUTE($D142,_xlfn.UNICHAR(160)," ")),CSDL_Virus!$A$2:$D$41,2,FALSE()),"Chưa phân loại")</f>
        <v>StormHerd</v>
      </c>
      <c r="F142" s="6" t="str">
        <f aca="false">IFERROR(VLOOKUP(TRIM(SUBSTITUTE($D142,_xlfn.UNICHAR(160)," ")),CSDL_Virus!$A$2:$D$41,3,FALSE()),"Chưa phân loại")</f>
        <v>Botnet</v>
      </c>
      <c r="G142" s="6" t="str">
        <f aca="false">IFERROR(VLOOKUP(TRIM(SUBSTITUTE($D142,_xlfn.UNICHAR(160)," ")),CSDL_Virus!$A$2:$D$41,4,FALSE()),"Chưa phân loại")</f>
        <v>Trung bình</v>
      </c>
    </row>
    <row r="143" customFormat="false" ht="15" hidden="false" customHeight="false" outlineLevel="0" collapsed="false">
      <c r="A143" s="7" t="n">
        <v>46312.8527777778</v>
      </c>
      <c r="B143" s="6" t="s">
        <v>117</v>
      </c>
      <c r="C143" s="6" t="s">
        <v>283</v>
      </c>
      <c r="D143" s="6" t="s">
        <v>54</v>
      </c>
      <c r="E143" s="6" t="str">
        <f aca="false">IFERROR(VLOOKUP(TRIM(SUBSTITUTE($D143,_xlfn.UNICHAR(160)," ")),CSDL_Virus!$A$2:$D$41,2,FALSE()),"Chưa phân loại")</f>
        <v>LongCrawl</v>
      </c>
      <c r="F143" s="6" t="str">
        <f aca="false">IFERROR(VLOOKUP(TRIM(SUBSTITUTE($D143,_xlfn.UNICHAR(160)," ")),CSDL_Virus!$A$2:$D$41,3,FALSE()),"Chưa phân loại")</f>
        <v>Worm</v>
      </c>
      <c r="G143" s="6" t="str">
        <f aca="false">IFERROR(VLOOKUP(TRIM(SUBSTITUTE($D143,_xlfn.UNICHAR(160)," ")),CSDL_Virus!$A$2:$D$41,4,FALSE()),"Chưa phân loại")</f>
        <v>Trung bình</v>
      </c>
    </row>
    <row r="144" customFormat="false" ht="15" hidden="false" customHeight="false" outlineLevel="0" collapsed="false">
      <c r="A144" s="7" t="n">
        <v>46312.8770833333</v>
      </c>
      <c r="B144" s="6" t="s">
        <v>141</v>
      </c>
      <c r="C144" s="6" t="s">
        <v>284</v>
      </c>
      <c r="D144" s="6" t="s">
        <v>37</v>
      </c>
      <c r="E144" s="6" t="str">
        <f aca="false">IFERROR(VLOOKUP(TRIM(SUBSTITUTE($D144,_xlfn.UNICHAR(160)," ")),CSDL_Virus!$A$2:$D$41,2,FALSE()),"Chưa phân loại")</f>
        <v>SilentBank</v>
      </c>
      <c r="F144" s="6" t="str">
        <f aca="false">IFERROR(VLOOKUP(TRIM(SUBSTITUTE($D144,_xlfn.UNICHAR(160)," ")),CSDL_Virus!$A$2:$D$41,3,FALSE()),"Chưa phân loại")</f>
        <v>Trojan</v>
      </c>
      <c r="G144" s="6" t="str">
        <f aca="false">IFERROR(VLOOKUP(TRIM(SUBSTITUTE($D144,_xlfn.UNICHAR(160)," ")),CSDL_Virus!$A$2:$D$41,4,FALSE()),"Chưa phân loại")</f>
        <v>Cao</v>
      </c>
    </row>
    <row r="145" customFormat="false" ht="15" hidden="false" customHeight="false" outlineLevel="0" collapsed="false">
      <c r="A145" s="7" t="n">
        <v>46313.125</v>
      </c>
      <c r="B145" s="6" t="s">
        <v>132</v>
      </c>
      <c r="C145" s="6" t="s">
        <v>285</v>
      </c>
      <c r="D145" s="6" t="s">
        <v>45</v>
      </c>
      <c r="E145" s="6" t="str">
        <f aca="false">IFERROR(VLOOKUP(TRIM(SUBSTITUTE($D145,_xlfn.UNICHAR(160)," ")),CSDL_Virus!$A$2:$D$41,2,FALSE()),"Chưa phân loại")</f>
        <v>DriftKey</v>
      </c>
      <c r="F145" s="6" t="str">
        <f aca="false">IFERROR(VLOOKUP(TRIM(SUBSTITUTE($D145,_xlfn.UNICHAR(160)," ")),CSDL_Virus!$A$2:$D$41,3,FALSE()),"Chưa phân loại")</f>
        <v>Trojan</v>
      </c>
      <c r="G145" s="6" t="str">
        <f aca="false">IFERROR(VLOOKUP(TRIM(SUBSTITUTE($D145,_xlfn.UNICHAR(160)," ")),CSDL_Virus!$A$2:$D$41,4,FALSE()),"Chưa phân loại")</f>
        <v>Nghiêm trọng</v>
      </c>
    </row>
    <row r="146" customFormat="false" ht="15" hidden="false" customHeight="false" outlineLevel="0" collapsed="false">
      <c r="A146" s="7" t="n">
        <v>46313.1388888889</v>
      </c>
      <c r="B146" s="6" t="s">
        <v>132</v>
      </c>
      <c r="C146" s="6" t="s">
        <v>286</v>
      </c>
      <c r="D146" s="6" t="s">
        <v>85</v>
      </c>
      <c r="E146" s="6" t="str">
        <f aca="false">IFERROR(VLOOKUP(TRIM(SUBSTITUTE($D146,_xlfn.UNICHAR(160)," ")),CSDL_Virus!$A$2:$D$41,2,FALSE()),"Chưa phân loại")</f>
        <v>CoinMoth</v>
      </c>
      <c r="F146" s="6" t="str">
        <f aca="false">IFERROR(VLOOKUP(TRIM(SUBSTITUTE($D146,_xlfn.UNICHAR(160)," ")),CSDL_Virus!$A$2:$D$41,3,FALSE()),"Chưa phân loại")</f>
        <v>Cryptominer</v>
      </c>
      <c r="G146" s="6" t="str">
        <f aca="false">IFERROR(VLOOKUP(TRIM(SUBSTITUTE($D146,_xlfn.UNICHAR(160)," ")),CSDL_Virus!$A$2:$D$41,4,FALSE()),"Chưa phân loại")</f>
        <v>Thấp</v>
      </c>
    </row>
    <row r="147" customFormat="false" ht="15" hidden="false" customHeight="false" outlineLevel="0" collapsed="false">
      <c r="A147" s="7" t="n">
        <v>46313.1388888889</v>
      </c>
      <c r="B147" s="6" t="s">
        <v>117</v>
      </c>
      <c r="C147" s="6" t="s">
        <v>287</v>
      </c>
      <c r="D147" s="6" t="s">
        <v>51</v>
      </c>
      <c r="E147" s="6" t="str">
        <f aca="false">IFERROR(VLOOKUP(TRIM(SUBSTITUTE($D147,_xlfn.UNICHAR(160)," ")),CSDL_Virus!$A$2:$D$41,2,FALSE()),"Chưa phân loại")</f>
        <v>RiverSpark</v>
      </c>
      <c r="F147" s="6" t="str">
        <f aca="false">IFERROR(VLOOKUP(TRIM(SUBSTITUTE($D147,_xlfn.UNICHAR(160)," ")),CSDL_Virus!$A$2:$D$41,3,FALSE()),"Chưa phân loại")</f>
        <v>Worm</v>
      </c>
      <c r="G147" s="6" t="str">
        <f aca="false">IFERROR(VLOOKUP(TRIM(SUBSTITUTE($D147,_xlfn.UNICHAR(160)," ")),CSDL_Virus!$A$2:$D$41,4,FALSE()),"Chưa phân loại")</f>
        <v>Cao</v>
      </c>
    </row>
    <row r="148" customFormat="false" ht="15" hidden="false" customHeight="false" outlineLevel="0" collapsed="false">
      <c r="A148" s="7" t="n">
        <v>46313.2986111111</v>
      </c>
      <c r="B148" s="6" t="s">
        <v>141</v>
      </c>
      <c r="C148" s="6" t="s">
        <v>288</v>
      </c>
      <c r="D148" s="6" t="s">
        <v>22</v>
      </c>
      <c r="E148" s="6" t="str">
        <f aca="false">IFERROR(VLOOKUP(TRIM(SUBSTITUTE($D148,_xlfn.UNICHAR(160)," ")),CSDL_Virus!$A$2:$D$41,2,FALSE()),"Chưa phân loại")</f>
        <v>LockBay</v>
      </c>
      <c r="F148" s="6" t="str">
        <f aca="false">IFERROR(VLOOKUP(TRIM(SUBSTITUTE($D148,_xlfn.UNICHAR(160)," ")),CSDL_Virus!$A$2:$D$41,3,FALSE()),"Chưa phân loại")</f>
        <v>Ransomware</v>
      </c>
      <c r="G148" s="6" t="str">
        <f aca="false">IFERROR(VLOOKUP(TRIM(SUBSTITUTE($D148,_xlfn.UNICHAR(160)," ")),CSDL_Virus!$A$2:$D$41,4,FALSE()),"Chưa phân loại")</f>
        <v>Nghiêm trọng</v>
      </c>
    </row>
    <row r="149" customFormat="false" ht="15" hidden="false" customHeight="false" outlineLevel="0" collapsed="false">
      <c r="A149" s="7" t="n">
        <v>46313.3291666667</v>
      </c>
      <c r="B149" s="6" t="s">
        <v>172</v>
      </c>
      <c r="C149" s="6" t="s">
        <v>289</v>
      </c>
      <c r="D149" s="6" t="s">
        <v>70</v>
      </c>
      <c r="E149" s="6" t="str">
        <f aca="false">IFERROR(VLOOKUP(TRIM(SUBSTITUTE($D149,_xlfn.UNICHAR(160)," ")),CSDL_Virus!$A$2:$D$41,2,FALSE()),"Chưa phân loại")</f>
        <v>MoonScribe</v>
      </c>
      <c r="F149" s="6" t="str">
        <f aca="false">IFERROR(VLOOKUP(TRIM(SUBSTITUTE($D149,_xlfn.UNICHAR(160)," ")),CSDL_Virus!$A$2:$D$41,3,FALSE()),"Chưa phân loại")</f>
        <v>Spyware</v>
      </c>
      <c r="G149" s="6" t="str">
        <f aca="false">IFERROR(VLOOKUP(TRIM(SUBSTITUTE($D149,_xlfn.UNICHAR(160)," ")),CSDL_Virus!$A$2:$D$41,4,FALSE()),"Chưa phân loại")</f>
        <v>Trung bình</v>
      </c>
    </row>
    <row r="150" customFormat="false" ht="15" hidden="false" customHeight="false" outlineLevel="0" collapsed="false">
      <c r="A150" s="7" t="n">
        <v>46313.3763888889</v>
      </c>
      <c r="B150" s="6" t="s">
        <v>141</v>
      </c>
      <c r="C150" s="6" t="s">
        <v>271</v>
      </c>
      <c r="D150" s="6" t="s">
        <v>37</v>
      </c>
      <c r="E150" s="6" t="str">
        <f aca="false">IFERROR(VLOOKUP(TRIM(SUBSTITUTE($D150,_xlfn.UNICHAR(160)," ")),CSDL_Virus!$A$2:$D$41,2,FALSE()),"Chưa phân loại")</f>
        <v>SilentBank</v>
      </c>
      <c r="F150" s="6" t="str">
        <f aca="false">IFERROR(VLOOKUP(TRIM(SUBSTITUTE($D150,_xlfn.UNICHAR(160)," ")),CSDL_Virus!$A$2:$D$41,3,FALSE()),"Chưa phân loại")</f>
        <v>Trojan</v>
      </c>
      <c r="G150" s="6" t="str">
        <f aca="false">IFERROR(VLOOKUP(TRIM(SUBSTITUTE($D150,_xlfn.UNICHAR(160)," ")),CSDL_Virus!$A$2:$D$41,4,FALSE()),"Chưa phân loại")</f>
        <v>Cao</v>
      </c>
    </row>
    <row r="151" customFormat="false" ht="15" hidden="false" customHeight="false" outlineLevel="0" collapsed="false">
      <c r="A151" s="7" t="n">
        <v>46313.4159722222</v>
      </c>
      <c r="B151" s="6" t="s">
        <v>141</v>
      </c>
      <c r="C151" s="6" t="s">
        <v>212</v>
      </c>
      <c r="D151" s="6" t="s">
        <v>107</v>
      </c>
      <c r="E151" s="6" t="str">
        <f aca="false">IFERROR(VLOOKUP(TRIM(SUBSTITUTE($D151,_xlfn.UNICHAR(160)," ")),CSDL_Virus!$A$2:$D$41,2,FALSE()),"Chưa phân loại")</f>
        <v>DeepAnchor</v>
      </c>
      <c r="F151" s="6" t="str">
        <f aca="false">IFERROR(VLOOKUP(TRIM(SUBSTITUTE($D151,_xlfn.UNICHAR(160)," ")),CSDL_Virus!$A$2:$D$41,3,FALSE()),"Chưa phân loại")</f>
        <v>Ransomware</v>
      </c>
      <c r="G151" s="6" t="str">
        <f aca="false">IFERROR(VLOOKUP(TRIM(SUBSTITUTE($D151,_xlfn.UNICHAR(160)," ")),CSDL_Virus!$A$2:$D$41,4,FALSE()),"Chưa phân loại")</f>
        <v>Nghiêm trọng</v>
      </c>
    </row>
    <row r="152" customFormat="false" ht="15" hidden="false" customHeight="false" outlineLevel="0" collapsed="false">
      <c r="A152" s="7" t="n">
        <v>46313.5770833333</v>
      </c>
      <c r="B152" s="6" t="s">
        <v>124</v>
      </c>
      <c r="C152" s="6" t="s">
        <v>290</v>
      </c>
      <c r="D152" s="6" t="s">
        <v>146</v>
      </c>
      <c r="E152" s="6" t="str">
        <f aca="false">IFERROR(VLOOKUP(TRIM(SUBSTITUTE($D152,_xlfn.UNICHAR(160)," ")),CSDL_Virus!$A$2:$D$41,2,FALSE()),"Chưa phân loại")</f>
        <v>Chưa phân loại</v>
      </c>
      <c r="F152" s="6" t="str">
        <f aca="false">IFERROR(VLOOKUP(TRIM(SUBSTITUTE($D152,_xlfn.UNICHAR(160)," ")),CSDL_Virus!$A$2:$D$41,3,FALSE()),"Chưa phân loại")</f>
        <v>Chưa phân loại</v>
      </c>
      <c r="G152" s="6" t="str">
        <f aca="false">IFERROR(VLOOKUP(TRIM(SUBSTITUTE($D152,_xlfn.UNICHAR(160)," ")),CSDL_Virus!$A$2:$D$41,4,FALSE()),"Chưa phân loại")</f>
        <v>Chưa phân loại</v>
      </c>
    </row>
    <row r="153" customFormat="false" ht="15" hidden="false" customHeight="false" outlineLevel="0" collapsed="false">
      <c r="A153" s="7" t="n">
        <v>46313.6194444444</v>
      </c>
      <c r="B153" s="6" t="s">
        <v>117</v>
      </c>
      <c r="C153" s="6" t="s">
        <v>291</v>
      </c>
      <c r="D153" s="6" t="s">
        <v>292</v>
      </c>
      <c r="E153" s="6" t="str">
        <f aca="false">IFERROR(VLOOKUP(TRIM(SUBSTITUTE($D153,_xlfn.UNICHAR(160)," ")),CSDL_Virus!$A$2:$D$41,2,FALSE()),"Chưa phân loại")</f>
        <v>RiverSpark</v>
      </c>
      <c r="F153" s="6" t="str">
        <f aca="false">IFERROR(VLOOKUP(TRIM(SUBSTITUTE($D153,_xlfn.UNICHAR(160)," ")),CSDL_Virus!$A$2:$D$41,3,FALSE()),"Chưa phân loại")</f>
        <v>Worm</v>
      </c>
      <c r="G153" s="6" t="str">
        <f aca="false">IFERROR(VLOOKUP(TRIM(SUBSTITUTE($D153,_xlfn.UNICHAR(160)," ")),CSDL_Virus!$A$2:$D$41,4,FALSE()),"Chưa phân loại")</f>
        <v>Cao</v>
      </c>
    </row>
    <row r="154" customFormat="false" ht="15" hidden="false" customHeight="false" outlineLevel="0" collapsed="false">
      <c r="A154" s="7" t="n">
        <v>46313.6770833333</v>
      </c>
      <c r="B154" s="6" t="s">
        <v>127</v>
      </c>
      <c r="C154" s="6" t="s">
        <v>293</v>
      </c>
      <c r="D154" s="6" t="s">
        <v>85</v>
      </c>
      <c r="E154" s="6" t="str">
        <f aca="false">IFERROR(VLOOKUP(TRIM(SUBSTITUTE($D154,_xlfn.UNICHAR(160)," ")),CSDL_Virus!$A$2:$D$41,2,FALSE()),"Chưa phân loại")</f>
        <v>CoinMoth</v>
      </c>
      <c r="F154" s="6" t="str">
        <f aca="false">IFERROR(VLOOKUP(TRIM(SUBSTITUTE($D154,_xlfn.UNICHAR(160)," ")),CSDL_Virus!$A$2:$D$41,3,FALSE()),"Chưa phân loại")</f>
        <v>Cryptominer</v>
      </c>
      <c r="G154" s="6" t="str">
        <f aca="false">IFERROR(VLOOKUP(TRIM(SUBSTITUTE($D154,_xlfn.UNICHAR(160)," ")),CSDL_Virus!$A$2:$D$41,4,FALSE()),"Chưa phân loại")</f>
        <v>Thấp</v>
      </c>
    </row>
    <row r="155" customFormat="false" ht="15" hidden="false" customHeight="false" outlineLevel="0" collapsed="false">
      <c r="A155" s="7" t="n">
        <v>46313.6930555556</v>
      </c>
      <c r="B155" s="6" t="s">
        <v>141</v>
      </c>
      <c r="C155" s="6" t="s">
        <v>294</v>
      </c>
      <c r="D155" s="6" t="s">
        <v>295</v>
      </c>
      <c r="E155" s="6" t="str">
        <f aca="false">IFERROR(VLOOKUP(TRIM(SUBSTITUTE($D155,_xlfn.UNICHAR(160)," ")),CSDL_Virus!$A$2:$D$41,2,FALSE()),"Chưa phân loại")</f>
        <v>NullLatch</v>
      </c>
      <c r="F155" s="6" t="str">
        <f aca="false">IFERROR(VLOOKUP(TRIM(SUBSTITUTE($D155,_xlfn.UNICHAR(160)," ")),CSDL_Virus!$A$2:$D$41,3,FALSE()),"Chưa phân loại")</f>
        <v>Ransomware</v>
      </c>
      <c r="G155" s="6" t="str">
        <f aca="false">IFERROR(VLOOKUP(TRIM(SUBSTITUTE($D155,_xlfn.UNICHAR(160)," ")),CSDL_Virus!$A$2:$D$41,4,FALSE()),"Chưa phân loại")</f>
        <v>Cao</v>
      </c>
    </row>
    <row r="156" customFormat="false" ht="15" hidden="false" customHeight="false" outlineLevel="0" collapsed="false">
      <c r="A156" s="7" t="n">
        <v>46313.7423611111</v>
      </c>
      <c r="B156" s="6" t="s">
        <v>124</v>
      </c>
      <c r="C156" s="6" t="s">
        <v>296</v>
      </c>
      <c r="D156" s="6" t="s">
        <v>26</v>
      </c>
      <c r="E156" s="6" t="str">
        <f aca="false">IFERROR(VLOOKUP(TRIM(SUBSTITUTE($D156,_xlfn.UNICHAR(160)," ")),CSDL_Virus!$A$2:$D$41,2,FALSE()),"Chưa phân loại")</f>
        <v>CrimsonLoop</v>
      </c>
      <c r="F156" s="6" t="str">
        <f aca="false">IFERROR(VLOOKUP(TRIM(SUBSTITUTE($D156,_xlfn.UNICHAR(160)," ")),CSDL_Virus!$A$2:$D$41,3,FALSE()),"Chưa phân loại")</f>
        <v>Ransomware</v>
      </c>
      <c r="G156" s="6" t="str">
        <f aca="false">IFERROR(VLOOKUP(TRIM(SUBSTITUTE($D156,_xlfn.UNICHAR(160)," ")),CSDL_Virus!$A$2:$D$41,4,FALSE()),"Chưa phân loại")</f>
        <v>Nghiêm trọng</v>
      </c>
    </row>
    <row r="157" customFormat="false" ht="15" hidden="false" customHeight="false" outlineLevel="0" collapsed="false">
      <c r="A157" s="7" t="n">
        <v>46313.85</v>
      </c>
      <c r="B157" s="6" t="s">
        <v>172</v>
      </c>
      <c r="C157" s="6" t="s">
        <v>297</v>
      </c>
      <c r="D157" s="6" t="s">
        <v>22</v>
      </c>
      <c r="E157" s="6" t="str">
        <f aca="false">IFERROR(VLOOKUP(TRIM(SUBSTITUTE($D157,_xlfn.UNICHAR(160)," ")),CSDL_Virus!$A$2:$D$41,2,FALSE()),"Chưa phân loại")</f>
        <v>LockBay</v>
      </c>
      <c r="F157" s="6" t="str">
        <f aca="false">IFERROR(VLOOKUP(TRIM(SUBSTITUTE($D157,_xlfn.UNICHAR(160)," ")),CSDL_Virus!$A$2:$D$41,3,FALSE()),"Chưa phân loại")</f>
        <v>Ransomware</v>
      </c>
      <c r="G157" s="6" t="str">
        <f aca="false">IFERROR(VLOOKUP(TRIM(SUBSTITUTE($D157,_xlfn.UNICHAR(160)," ")),CSDL_Virus!$A$2:$D$41,4,FALSE()),"Chưa phân loại")</f>
        <v>Nghiêm trọng</v>
      </c>
    </row>
    <row r="158" customFormat="false" ht="15" hidden="false" customHeight="false" outlineLevel="0" collapsed="false">
      <c r="A158" s="7" t="n">
        <v>46313.9034722222</v>
      </c>
      <c r="B158" s="6" t="s">
        <v>139</v>
      </c>
      <c r="C158" s="6" t="s">
        <v>298</v>
      </c>
      <c r="D158" s="6" t="s">
        <v>28</v>
      </c>
      <c r="E158" s="6" t="str">
        <f aca="false">IFERROR(VLOOKUP(TRIM(SUBSTITUTE($D158,_xlfn.UNICHAR(160)," ")),CSDL_Virus!$A$2:$D$41,2,FALSE()),"Chưa phân loại")</f>
        <v>VaultBite</v>
      </c>
      <c r="F158" s="6" t="str">
        <f aca="false">IFERROR(VLOOKUP(TRIM(SUBSTITUTE($D158,_xlfn.UNICHAR(160)," ")),CSDL_Virus!$A$2:$D$41,3,FALSE()),"Chưa phân loại")</f>
        <v>Ransomware</v>
      </c>
      <c r="G158" s="6" t="str">
        <f aca="false">IFERROR(VLOOKUP(TRIM(SUBSTITUTE($D158,_xlfn.UNICHAR(160)," ")),CSDL_Virus!$A$2:$D$41,4,FALSE()),"Chưa phân loại")</f>
        <v>Nghiêm trọng</v>
      </c>
    </row>
    <row r="159" customFormat="false" ht="15" hidden="false" customHeight="false" outlineLevel="0" collapsed="false">
      <c r="A159" s="7" t="n">
        <v>46313.9208333333</v>
      </c>
      <c r="B159" s="6" t="s">
        <v>132</v>
      </c>
      <c r="C159" s="6" t="s">
        <v>299</v>
      </c>
      <c r="D159" s="6" t="s">
        <v>33</v>
      </c>
      <c r="E159" s="6" t="str">
        <f aca="false">IFERROR(VLOOKUP(TRIM(SUBSTITUTE($D159,_xlfn.UNICHAR(160)," ")),CSDL_Virus!$A$2:$D$41,2,FALSE()),"Chưa phân loại")</f>
        <v>NullLatch</v>
      </c>
      <c r="F159" s="6" t="str">
        <f aca="false">IFERROR(VLOOKUP(TRIM(SUBSTITUTE($D159,_xlfn.UNICHAR(160)," ")),CSDL_Virus!$A$2:$D$41,3,FALSE()),"Chưa phân loại")</f>
        <v>Ransomware</v>
      </c>
      <c r="G159" s="6" t="str">
        <f aca="false">IFERROR(VLOOKUP(TRIM(SUBSTITUTE($D159,_xlfn.UNICHAR(160)," ")),CSDL_Virus!$A$2:$D$41,4,FALSE()),"Chưa phân loại")</f>
        <v>Cao</v>
      </c>
    </row>
    <row r="160" customFormat="false" ht="15" hidden="false" customHeight="false" outlineLevel="0" collapsed="false">
      <c r="A160" s="7" t="n">
        <v>46314.0590277778</v>
      </c>
      <c r="B160" s="6" t="s">
        <v>127</v>
      </c>
      <c r="C160" s="6" t="s">
        <v>300</v>
      </c>
      <c r="D160" s="6" t="s">
        <v>51</v>
      </c>
      <c r="E160" s="6" t="str">
        <f aca="false">IFERROR(VLOOKUP(TRIM(SUBSTITUTE($D160,_xlfn.UNICHAR(160)," ")),CSDL_Virus!$A$2:$D$41,2,FALSE()),"Chưa phân loại")</f>
        <v>RiverSpark</v>
      </c>
      <c r="F160" s="6" t="str">
        <f aca="false">IFERROR(VLOOKUP(TRIM(SUBSTITUTE($D160,_xlfn.UNICHAR(160)," ")),CSDL_Virus!$A$2:$D$41,3,FALSE()),"Chưa phân loại")</f>
        <v>Worm</v>
      </c>
      <c r="G160" s="6" t="str">
        <f aca="false">IFERROR(VLOOKUP(TRIM(SUBSTITUTE($D160,_xlfn.UNICHAR(160)," ")),CSDL_Virus!$A$2:$D$41,4,FALSE()),"Chưa phân loại")</f>
        <v>Cao</v>
      </c>
    </row>
    <row r="161" customFormat="false" ht="15" hidden="false" customHeight="false" outlineLevel="0" collapsed="false">
      <c r="A161" s="7" t="n">
        <v>46314.0722222222</v>
      </c>
      <c r="B161" s="6" t="s">
        <v>124</v>
      </c>
      <c r="C161" s="6" t="s">
        <v>301</v>
      </c>
      <c r="D161" s="6" t="s">
        <v>85</v>
      </c>
      <c r="E161" s="6" t="str">
        <f aca="false">IFERROR(VLOOKUP(TRIM(SUBSTITUTE($D161,_xlfn.UNICHAR(160)," ")),CSDL_Virus!$A$2:$D$41,2,FALSE()),"Chưa phân loại")</f>
        <v>CoinMoth</v>
      </c>
      <c r="F161" s="6" t="str">
        <f aca="false">IFERROR(VLOOKUP(TRIM(SUBSTITUTE($D161,_xlfn.UNICHAR(160)," ")),CSDL_Virus!$A$2:$D$41,3,FALSE()),"Chưa phân loại")</f>
        <v>Cryptominer</v>
      </c>
      <c r="G161" s="6" t="str">
        <f aca="false">IFERROR(VLOOKUP(TRIM(SUBSTITUTE($D161,_xlfn.UNICHAR(160)," ")),CSDL_Virus!$A$2:$D$41,4,FALSE()),"Chưa phân loại")</f>
        <v>Thấp</v>
      </c>
    </row>
    <row r="162" customFormat="false" ht="15" hidden="false" customHeight="false" outlineLevel="0" collapsed="false">
      <c r="A162" s="7" t="n">
        <v>46314.0777777778</v>
      </c>
      <c r="B162" s="6" t="s">
        <v>141</v>
      </c>
      <c r="C162" s="6" t="s">
        <v>302</v>
      </c>
      <c r="D162" s="6" t="s">
        <v>79</v>
      </c>
      <c r="E162" s="6" t="str">
        <f aca="false">IFERROR(VLOOKUP(TRIM(SUBSTITUTE($D162,_xlfn.UNICHAR(160)," ")),CSDL_Virus!$A$2:$D$41,2,FALSE()),"Chưa phân loại")</f>
        <v>DuskRelay</v>
      </c>
      <c r="F162" s="6" t="str">
        <f aca="false">IFERROR(VLOOKUP(TRIM(SUBSTITUTE($D162,_xlfn.UNICHAR(160)," ")),CSDL_Virus!$A$2:$D$41,3,FALSE()),"Chưa phân loại")</f>
        <v>Botnet</v>
      </c>
      <c r="G162" s="6" t="str">
        <f aca="false">IFERROR(VLOOKUP(TRIM(SUBSTITUTE($D162,_xlfn.UNICHAR(160)," ")),CSDL_Virus!$A$2:$D$41,4,FALSE()),"Chưa phân loại")</f>
        <v>Cao</v>
      </c>
    </row>
    <row r="163" customFormat="false" ht="15" hidden="false" customHeight="false" outlineLevel="0" collapsed="false">
      <c r="A163" s="7" t="n">
        <v>46314.08125</v>
      </c>
      <c r="B163" s="6" t="s">
        <v>139</v>
      </c>
      <c r="C163" s="6" t="s">
        <v>268</v>
      </c>
      <c r="D163" s="6" t="s">
        <v>35</v>
      </c>
      <c r="E163" s="6" t="str">
        <f aca="false">IFERROR(VLOOKUP(TRIM(SUBSTITUTE($D163,_xlfn.UNICHAR(160)," ")),CSDL_Virus!$A$2:$D$41,2,FALSE()),"Chưa phân loại")</f>
        <v>GrimSeal</v>
      </c>
      <c r="F163" s="6" t="str">
        <f aca="false">IFERROR(VLOOKUP(TRIM(SUBSTITUTE($D163,_xlfn.UNICHAR(160)," ")),CSDL_Virus!$A$2:$D$41,3,FALSE()),"Chưa phân loại")</f>
        <v>Ransomware</v>
      </c>
      <c r="G163" s="6" t="str">
        <f aca="false">IFERROR(VLOOKUP(TRIM(SUBSTITUTE($D163,_xlfn.UNICHAR(160)," ")),CSDL_Virus!$A$2:$D$41,4,FALSE()),"Chưa phân loại")</f>
        <v>Cao</v>
      </c>
    </row>
    <row r="164" customFormat="false" ht="15" hidden="false" customHeight="false" outlineLevel="0" collapsed="false">
      <c r="A164" s="7" t="n">
        <v>46314.0951388889</v>
      </c>
      <c r="B164" s="6" t="s">
        <v>127</v>
      </c>
      <c r="C164" s="6" t="s">
        <v>303</v>
      </c>
      <c r="D164" s="6" t="s">
        <v>51</v>
      </c>
      <c r="E164" s="6" t="str">
        <f aca="false">IFERROR(VLOOKUP(TRIM(SUBSTITUTE($D164,_xlfn.UNICHAR(160)," ")),CSDL_Virus!$A$2:$D$41,2,FALSE()),"Chưa phân loại")</f>
        <v>RiverSpark</v>
      </c>
      <c r="F164" s="6" t="str">
        <f aca="false">IFERROR(VLOOKUP(TRIM(SUBSTITUTE($D164,_xlfn.UNICHAR(160)," ")),CSDL_Virus!$A$2:$D$41,3,FALSE()),"Chưa phân loại")</f>
        <v>Worm</v>
      </c>
      <c r="G164" s="6" t="str">
        <f aca="false">IFERROR(VLOOKUP(TRIM(SUBSTITUTE($D164,_xlfn.UNICHAR(160)," ")),CSDL_Virus!$A$2:$D$41,4,FALSE()),"Chưa phân loại")</f>
        <v>Cao</v>
      </c>
    </row>
    <row r="165" customFormat="false" ht="15" hidden="false" customHeight="false" outlineLevel="0" collapsed="false">
      <c r="A165" s="7" t="n">
        <v>46314.1743055556</v>
      </c>
      <c r="B165" s="6" t="s">
        <v>124</v>
      </c>
      <c r="C165" s="6" t="s">
        <v>236</v>
      </c>
      <c r="D165" s="6" t="s">
        <v>218</v>
      </c>
      <c r="E165" s="6" t="str">
        <f aca="false">IFERROR(VLOOKUP(TRIM(SUBSTITUTE($D165,_xlfn.UNICHAR(160)," ")),CSDL_Virus!$A$2:$D$41,2,FALSE()),"Chưa phân loại")</f>
        <v>IronFlock</v>
      </c>
      <c r="F165" s="6" t="str">
        <f aca="false">IFERROR(VLOOKUP(TRIM(SUBSTITUTE($D165,_xlfn.UNICHAR(160)," ")),CSDL_Virus!$A$2:$D$41,3,FALSE()),"Chưa phân loại")</f>
        <v>Botnet</v>
      </c>
      <c r="G165" s="6" t="str">
        <f aca="false">IFERROR(VLOOKUP(TRIM(SUBSTITUTE($D165,_xlfn.UNICHAR(160)," ")),CSDL_Virus!$A$2:$D$41,4,FALSE()),"Chưa phân loại")</f>
        <v>Cao</v>
      </c>
    </row>
    <row r="166" customFormat="false" ht="15" hidden="false" customHeight="false" outlineLevel="0" collapsed="false">
      <c r="A166" s="7" t="n">
        <v>46314.2013888889</v>
      </c>
      <c r="B166" s="6" t="s">
        <v>132</v>
      </c>
      <c r="C166" s="6" t="s">
        <v>304</v>
      </c>
      <c r="D166" s="6" t="s">
        <v>49</v>
      </c>
      <c r="E166" s="6" t="str">
        <f aca="false">IFERROR(VLOOKUP(TRIM(SUBSTITUTE($D166,_xlfn.UNICHAR(160)," ")),CSDL_Virus!$A$2:$D$41,2,FALSE()),"Chưa phân loại")</f>
        <v>CopperVeil</v>
      </c>
      <c r="F166" s="6" t="str">
        <f aca="false">IFERROR(VLOOKUP(TRIM(SUBSTITUTE($D166,_xlfn.UNICHAR(160)," ")),CSDL_Virus!$A$2:$D$41,3,FALSE()),"Chưa phân loại")</f>
        <v>Trojan</v>
      </c>
      <c r="G166" s="6" t="str">
        <f aca="false">IFERROR(VLOOKUP(TRIM(SUBSTITUTE($D166,_xlfn.UNICHAR(160)," ")),CSDL_Virus!$A$2:$D$41,4,FALSE()),"Chưa phân loại")</f>
        <v>Cao</v>
      </c>
    </row>
    <row r="167" customFormat="false" ht="15" hidden="false" customHeight="false" outlineLevel="0" collapsed="false">
      <c r="A167" s="7" t="n">
        <v>46314.25625</v>
      </c>
      <c r="B167" s="6" t="s">
        <v>127</v>
      </c>
      <c r="C167" s="6" t="s">
        <v>305</v>
      </c>
      <c r="D167" s="6" t="s">
        <v>35</v>
      </c>
      <c r="E167" s="6" t="str">
        <f aca="false">IFERROR(VLOOKUP(TRIM(SUBSTITUTE($D167,_xlfn.UNICHAR(160)," ")),CSDL_Virus!$A$2:$D$41,2,FALSE()),"Chưa phân loại")</f>
        <v>GrimSeal</v>
      </c>
      <c r="F167" s="6" t="str">
        <f aca="false">IFERROR(VLOOKUP(TRIM(SUBSTITUTE($D167,_xlfn.UNICHAR(160)," ")),CSDL_Virus!$A$2:$D$41,3,FALSE()),"Chưa phân loại")</f>
        <v>Ransomware</v>
      </c>
      <c r="G167" s="6" t="str">
        <f aca="false">IFERROR(VLOOKUP(TRIM(SUBSTITUTE($D167,_xlfn.UNICHAR(160)," ")),CSDL_Virus!$A$2:$D$41,4,FALSE()),"Chưa phân loại")</f>
        <v>Cao</v>
      </c>
    </row>
    <row r="168" customFormat="false" ht="15" hidden="false" customHeight="false" outlineLevel="0" collapsed="false">
      <c r="A168" s="7" t="n">
        <v>46314.4243055556</v>
      </c>
      <c r="B168" s="6" t="s">
        <v>124</v>
      </c>
      <c r="C168" s="6" t="s">
        <v>306</v>
      </c>
      <c r="D168" s="6" t="s">
        <v>74</v>
      </c>
      <c r="E168" s="6" t="str">
        <f aca="false">IFERROR(VLOOKUP(TRIM(SUBSTITUTE($D168,_xlfn.UNICHAR(160)," ")),CSDL_Virus!$A$2:$D$41,2,FALSE()),"Chưa phân loại")</f>
        <v>IronFlock</v>
      </c>
      <c r="F168" s="6" t="str">
        <f aca="false">IFERROR(VLOOKUP(TRIM(SUBSTITUTE($D168,_xlfn.UNICHAR(160)," ")),CSDL_Virus!$A$2:$D$41,3,FALSE()),"Chưa phân loại")</f>
        <v>Botnet</v>
      </c>
      <c r="G168" s="6" t="str">
        <f aca="false">IFERROR(VLOOKUP(TRIM(SUBSTITUTE($D168,_xlfn.UNICHAR(160)," ")),CSDL_Virus!$A$2:$D$41,4,FALSE()),"Chưa phân loại")</f>
        <v>Cao</v>
      </c>
    </row>
    <row r="169" customFormat="false" ht="15" hidden="false" customHeight="false" outlineLevel="0" collapsed="false">
      <c r="A169" s="7" t="n">
        <v>46314.4395833333</v>
      </c>
      <c r="B169" s="6" t="s">
        <v>127</v>
      </c>
      <c r="C169" s="6" t="s">
        <v>307</v>
      </c>
      <c r="D169" s="6" t="s">
        <v>60</v>
      </c>
      <c r="E169" s="6" t="str">
        <f aca="false">IFERROR(VLOOKUP(TRIM(SUBSTITUTE($D169,_xlfn.UNICHAR(160)," ")),CSDL_Virus!$A$2:$D$41,2,FALSE()),"Chưa phân loại")</f>
        <v>TideRoot</v>
      </c>
      <c r="F169" s="6" t="str">
        <f aca="false">IFERROR(VLOOKUP(TRIM(SUBSTITUTE($D169,_xlfn.UNICHAR(160)," ")),CSDL_Virus!$A$2:$D$41,3,FALSE()),"Chưa phân loại")</f>
        <v>Worm</v>
      </c>
      <c r="G169" s="6" t="str">
        <f aca="false">IFERROR(VLOOKUP(TRIM(SUBSTITUTE($D169,_xlfn.UNICHAR(160)," ")),CSDL_Virus!$A$2:$D$41,4,FALSE()),"Chưa phân loại")</f>
        <v>Thấp</v>
      </c>
    </row>
    <row r="170" customFormat="false" ht="15" hidden="false" customHeight="false" outlineLevel="0" collapsed="false">
      <c r="A170" s="7" t="n">
        <v>46314.4854166667</v>
      </c>
      <c r="B170" s="6" t="s">
        <v>127</v>
      </c>
      <c r="C170" s="6" t="s">
        <v>308</v>
      </c>
      <c r="D170" s="6" t="s">
        <v>107</v>
      </c>
      <c r="E170" s="6" t="str">
        <f aca="false">IFERROR(VLOOKUP(TRIM(SUBSTITUTE($D170,_xlfn.UNICHAR(160)," ")),CSDL_Virus!$A$2:$D$41,2,FALSE()),"Chưa phân loại")</f>
        <v>DeepAnchor</v>
      </c>
      <c r="F170" s="6" t="str">
        <f aca="false">IFERROR(VLOOKUP(TRIM(SUBSTITUTE($D170,_xlfn.UNICHAR(160)," ")),CSDL_Virus!$A$2:$D$41,3,FALSE()),"Chưa phân loại")</f>
        <v>Ransomware</v>
      </c>
      <c r="G170" s="6" t="str">
        <f aca="false">IFERROR(VLOOKUP(TRIM(SUBSTITUTE($D170,_xlfn.UNICHAR(160)," ")),CSDL_Virus!$A$2:$D$41,4,FALSE()),"Chưa phân loại")</f>
        <v>Nghiêm trọng</v>
      </c>
    </row>
    <row r="171" customFormat="false" ht="15" hidden="false" customHeight="false" outlineLevel="0" collapsed="false">
      <c r="A171" s="7" t="n">
        <v>46314.5125</v>
      </c>
      <c r="B171" s="6" t="s">
        <v>119</v>
      </c>
      <c r="C171" s="6" t="s">
        <v>309</v>
      </c>
      <c r="D171" s="6" t="s">
        <v>58</v>
      </c>
      <c r="E171" s="6" t="str">
        <f aca="false">IFERROR(VLOOKUP(TRIM(SUBSTITUTE($D171,_xlfn.UNICHAR(160)," ")),CSDL_Virus!$A$2:$D$41,2,FALSE()),"Chưa phân loại")</f>
        <v>BrightFuse</v>
      </c>
      <c r="F171" s="6" t="str">
        <f aca="false">IFERROR(VLOOKUP(TRIM(SUBSTITUTE($D171,_xlfn.UNICHAR(160)," ")),CSDL_Virus!$A$2:$D$41,3,FALSE()),"Chưa phân loại")</f>
        <v>Worm</v>
      </c>
      <c r="G171" s="6" t="str">
        <f aca="false">IFERROR(VLOOKUP(TRIM(SUBSTITUTE($D171,_xlfn.UNICHAR(160)," ")),CSDL_Virus!$A$2:$D$41,4,FALSE()),"Chưa phân loại")</f>
        <v>Cao</v>
      </c>
    </row>
    <row r="172" customFormat="false" ht="15" hidden="false" customHeight="false" outlineLevel="0" collapsed="false">
      <c r="A172" s="7" t="n">
        <v>46314.53125</v>
      </c>
      <c r="B172" s="6" t="s">
        <v>172</v>
      </c>
      <c r="C172" s="6" t="s">
        <v>310</v>
      </c>
      <c r="D172" s="6" t="s">
        <v>68</v>
      </c>
      <c r="E172" s="6" t="str">
        <f aca="false">IFERROR(VLOOKUP(TRIM(SUBSTITUTE($D172,_xlfn.UNICHAR(160)," ")),CSDL_Virus!$A$2:$D$41,2,FALSE()),"Chưa phân loại")</f>
        <v>LintWatch</v>
      </c>
      <c r="F172" s="6" t="str">
        <f aca="false">IFERROR(VLOOKUP(TRIM(SUBSTITUTE($D172,_xlfn.UNICHAR(160)," ")),CSDL_Virus!$A$2:$D$41,3,FALSE()),"Chưa phân loại")</f>
        <v>Spyware</v>
      </c>
      <c r="G172" s="6" t="str">
        <f aca="false">IFERROR(VLOOKUP(TRIM(SUBSTITUTE($D172,_xlfn.UNICHAR(160)," ")),CSDL_Virus!$A$2:$D$41,4,FALSE()),"Chưa phân loại")</f>
        <v>Thấp</v>
      </c>
    </row>
    <row r="173" customFormat="false" ht="15" hidden="false" customHeight="false" outlineLevel="0" collapsed="false">
      <c r="A173" s="7" t="n">
        <v>46314.5680555556</v>
      </c>
      <c r="B173" s="6" t="s">
        <v>127</v>
      </c>
      <c r="C173" s="6" t="s">
        <v>219</v>
      </c>
      <c r="D173" s="6" t="s">
        <v>111</v>
      </c>
      <c r="E173" s="6" t="str">
        <f aca="false">IFERROR(VLOOKUP(TRIM(SUBSTITUTE($D173,_xlfn.UNICHAR(160)," ")),CSDL_Virus!$A$2:$D$41,2,FALSE()),"Chưa phân loại")</f>
        <v>AshMirror</v>
      </c>
      <c r="F173" s="6" t="str">
        <f aca="false">IFERROR(VLOOKUP(TRIM(SUBSTITUTE($D173,_xlfn.UNICHAR(160)," ")),CSDL_Virus!$A$2:$D$41,3,FALSE()),"Chưa phân loại")</f>
        <v>Spyware</v>
      </c>
      <c r="G173" s="6" t="str">
        <f aca="false">IFERROR(VLOOKUP(TRIM(SUBSTITUTE($D173,_xlfn.UNICHAR(160)," ")),CSDL_Virus!$A$2:$D$41,4,FALSE()),"Chưa phân loại")</f>
        <v>Cao</v>
      </c>
    </row>
    <row r="174" customFormat="false" ht="15" hidden="false" customHeight="false" outlineLevel="0" collapsed="false">
      <c r="A174" s="7" t="n">
        <v>46314.6659722222</v>
      </c>
      <c r="B174" s="6" t="s">
        <v>119</v>
      </c>
      <c r="C174" s="6" t="s">
        <v>201</v>
      </c>
      <c r="D174" s="6" t="s">
        <v>45</v>
      </c>
      <c r="E174" s="6" t="str">
        <f aca="false">IFERROR(VLOOKUP(TRIM(SUBSTITUTE($D174,_xlfn.UNICHAR(160)," ")),CSDL_Virus!$A$2:$D$41,2,FALSE()),"Chưa phân loại")</f>
        <v>DriftKey</v>
      </c>
      <c r="F174" s="6" t="str">
        <f aca="false">IFERROR(VLOOKUP(TRIM(SUBSTITUTE($D174,_xlfn.UNICHAR(160)," ")),CSDL_Virus!$A$2:$D$41,3,FALSE()),"Chưa phân loại")</f>
        <v>Trojan</v>
      </c>
      <c r="G174" s="6" t="str">
        <f aca="false">IFERROR(VLOOKUP(TRIM(SUBSTITUTE($D174,_xlfn.UNICHAR(160)," ")),CSDL_Virus!$A$2:$D$41,4,FALSE()),"Chưa phân loại")</f>
        <v>Nghiêm trọng</v>
      </c>
    </row>
    <row r="175" customFormat="false" ht="15" hidden="false" customHeight="false" outlineLevel="0" collapsed="false">
      <c r="A175" s="7" t="n">
        <v>46314.7736111111</v>
      </c>
      <c r="B175" s="6" t="s">
        <v>127</v>
      </c>
      <c r="C175" s="6" t="s">
        <v>311</v>
      </c>
      <c r="D175" s="6" t="s">
        <v>312</v>
      </c>
      <c r="E175" s="6" t="str">
        <f aca="false">IFERROR(VLOOKUP(TRIM(SUBSTITUTE($D175,_xlfn.UNICHAR(160)," ")),CSDL_Virus!$A$2:$D$41,2,FALSE()),"Chưa phân loại")</f>
        <v>CopperVeil</v>
      </c>
      <c r="F175" s="6" t="str">
        <f aca="false">IFERROR(VLOOKUP(TRIM(SUBSTITUTE($D175,_xlfn.UNICHAR(160)," ")),CSDL_Virus!$A$2:$D$41,3,FALSE()),"Chưa phân loại")</f>
        <v>Trojan</v>
      </c>
      <c r="G175" s="6" t="str">
        <f aca="false">IFERROR(VLOOKUP(TRIM(SUBSTITUTE($D175,_xlfn.UNICHAR(160)," ")),CSDL_Virus!$A$2:$D$41,4,FALSE()),"Chưa phân loại")</f>
        <v>Cao</v>
      </c>
    </row>
    <row r="176" customFormat="false" ht="15" hidden="false" customHeight="false" outlineLevel="0" collapsed="false">
      <c r="A176" s="7" t="n">
        <v>46314.79375</v>
      </c>
      <c r="B176" s="6" t="s">
        <v>172</v>
      </c>
      <c r="C176" s="6" t="s">
        <v>313</v>
      </c>
      <c r="D176" s="6" t="s">
        <v>51</v>
      </c>
      <c r="E176" s="6" t="str">
        <f aca="false">IFERROR(VLOOKUP(TRIM(SUBSTITUTE($D176,_xlfn.UNICHAR(160)," ")),CSDL_Virus!$A$2:$D$41,2,FALSE()),"Chưa phân loại")</f>
        <v>RiverSpark</v>
      </c>
      <c r="F176" s="6" t="str">
        <f aca="false">IFERROR(VLOOKUP(TRIM(SUBSTITUTE($D176,_xlfn.UNICHAR(160)," ")),CSDL_Virus!$A$2:$D$41,3,FALSE()),"Chưa phân loại")</f>
        <v>Worm</v>
      </c>
      <c r="G176" s="6" t="str">
        <f aca="false">IFERROR(VLOOKUP(TRIM(SUBSTITUTE($D176,_xlfn.UNICHAR(160)," ")),CSDL_Virus!$A$2:$D$41,4,FALSE()),"Chưa phân loại")</f>
        <v>Cao</v>
      </c>
    </row>
    <row r="177" customFormat="false" ht="15" hidden="false" customHeight="false" outlineLevel="0" collapsed="false">
      <c r="A177" s="7" t="n">
        <v>46314.98125</v>
      </c>
      <c r="B177" s="6" t="s">
        <v>119</v>
      </c>
      <c r="C177" s="6" t="s">
        <v>314</v>
      </c>
      <c r="D177" s="6" t="s">
        <v>79</v>
      </c>
      <c r="E177" s="6" t="str">
        <f aca="false">IFERROR(VLOOKUP(TRIM(SUBSTITUTE($D177,_xlfn.UNICHAR(160)," ")),CSDL_Virus!$A$2:$D$41,2,FALSE()),"Chưa phân loại")</f>
        <v>DuskRelay</v>
      </c>
      <c r="F177" s="6" t="str">
        <f aca="false">IFERROR(VLOOKUP(TRIM(SUBSTITUTE($D177,_xlfn.UNICHAR(160)," ")),CSDL_Virus!$A$2:$D$41,3,FALSE()),"Chưa phân loại")</f>
        <v>Botnet</v>
      </c>
      <c r="G177" s="6" t="str">
        <f aca="false">IFERROR(VLOOKUP(TRIM(SUBSTITUTE($D177,_xlfn.UNICHAR(160)," ")),CSDL_Virus!$A$2:$D$41,4,FALSE()),"Chưa phân loại")</f>
        <v>Cao</v>
      </c>
    </row>
    <row r="178" customFormat="false" ht="15" hidden="false" customHeight="false" outlineLevel="0" collapsed="false">
      <c r="A178" s="7" t="n">
        <v>46315.0055555556</v>
      </c>
      <c r="B178" s="6" t="s">
        <v>117</v>
      </c>
      <c r="C178" s="6" t="s">
        <v>177</v>
      </c>
      <c r="D178" s="6" t="s">
        <v>77</v>
      </c>
      <c r="E178" s="6" t="str">
        <f aca="false">IFERROR(VLOOKUP(TRIM(SUBSTITUTE($D178,_xlfn.UNICHAR(160)," ")),CSDL_Virus!$A$2:$D$41,2,FALSE()),"Chưa phân loại")</f>
        <v>HiveNote</v>
      </c>
      <c r="F178" s="6" t="str">
        <f aca="false">IFERROR(VLOOKUP(TRIM(SUBSTITUTE($D178,_xlfn.UNICHAR(160)," ")),CSDL_Virus!$A$2:$D$41,3,FALSE()),"Chưa phân loại")</f>
        <v>Botnet</v>
      </c>
      <c r="G178" s="6" t="str">
        <f aca="false">IFERROR(VLOOKUP(TRIM(SUBSTITUTE($D178,_xlfn.UNICHAR(160)," ")),CSDL_Virus!$A$2:$D$41,4,FALSE()),"Chưa phân loại")</f>
        <v>Trung bình</v>
      </c>
    </row>
    <row r="179" customFormat="false" ht="15" hidden="false" customHeight="false" outlineLevel="0" collapsed="false">
      <c r="A179" s="7" t="n">
        <v>46315.1340277778</v>
      </c>
      <c r="B179" s="6" t="s">
        <v>141</v>
      </c>
      <c r="C179" s="6" t="s">
        <v>305</v>
      </c>
      <c r="D179" s="6" t="s">
        <v>163</v>
      </c>
      <c r="E179" s="6" t="str">
        <f aca="false">IFERROR(VLOOKUP(TRIM(SUBSTITUTE($D179,_xlfn.UNICHAR(160)," ")),CSDL_Virus!$A$2:$D$41,2,FALSE()),"Chưa phân loại")</f>
        <v>BrightFuse</v>
      </c>
      <c r="F179" s="6" t="str">
        <f aca="false">IFERROR(VLOOKUP(TRIM(SUBSTITUTE($D179,_xlfn.UNICHAR(160)," ")),CSDL_Virus!$A$2:$D$41,3,FALSE()),"Chưa phân loại")</f>
        <v>Worm</v>
      </c>
      <c r="G179" s="6" t="str">
        <f aca="false">IFERROR(VLOOKUP(TRIM(SUBSTITUTE($D179,_xlfn.UNICHAR(160)," ")),CSDL_Virus!$A$2:$D$41,4,FALSE()),"Chưa phân loại")</f>
        <v>Cao</v>
      </c>
    </row>
    <row r="180" customFormat="false" ht="15" hidden="false" customHeight="false" outlineLevel="0" collapsed="false">
      <c r="A180" s="7" t="n">
        <v>46315.2402777778</v>
      </c>
      <c r="B180" s="6" t="s">
        <v>119</v>
      </c>
      <c r="C180" s="6" t="s">
        <v>315</v>
      </c>
      <c r="D180" s="6" t="s">
        <v>35</v>
      </c>
      <c r="E180" s="6" t="str">
        <f aca="false">IFERROR(VLOOKUP(TRIM(SUBSTITUTE($D180,_xlfn.UNICHAR(160)," ")),CSDL_Virus!$A$2:$D$41,2,FALSE()),"Chưa phân loại")</f>
        <v>GrimSeal</v>
      </c>
      <c r="F180" s="6" t="str">
        <f aca="false">IFERROR(VLOOKUP(TRIM(SUBSTITUTE($D180,_xlfn.UNICHAR(160)," ")),CSDL_Virus!$A$2:$D$41,3,FALSE()),"Chưa phân loại")</f>
        <v>Ransomware</v>
      </c>
      <c r="G180" s="6" t="str">
        <f aca="false">IFERROR(VLOOKUP(TRIM(SUBSTITUTE($D180,_xlfn.UNICHAR(160)," ")),CSDL_Virus!$A$2:$D$41,4,FALSE()),"Chưa phân loại")</f>
        <v>Cao</v>
      </c>
    </row>
    <row r="181" customFormat="false" ht="15" hidden="false" customHeight="false" outlineLevel="0" collapsed="false">
      <c r="A181" s="7" t="n">
        <v>46315.36875</v>
      </c>
      <c r="B181" s="6" t="s">
        <v>117</v>
      </c>
      <c r="C181" s="6" t="s">
        <v>316</v>
      </c>
      <c r="D181" s="6" t="s">
        <v>317</v>
      </c>
      <c r="E181" s="6" t="str">
        <f aca="false">IFERROR(VLOOKUP(TRIM(SUBSTITUTE($D181,_xlfn.UNICHAR(160)," ")),CSDL_Virus!$A$2:$D$41,2,FALSE()),"Chưa phân loại")</f>
        <v>DeepAnchor</v>
      </c>
      <c r="F181" s="6" t="str">
        <f aca="false">IFERROR(VLOOKUP(TRIM(SUBSTITUTE($D181,_xlfn.UNICHAR(160)," ")),CSDL_Virus!$A$2:$D$41,3,FALSE()),"Chưa phân loại")</f>
        <v>Ransomware</v>
      </c>
      <c r="G181" s="6" t="str">
        <f aca="false">IFERROR(VLOOKUP(TRIM(SUBSTITUTE($D181,_xlfn.UNICHAR(160)," ")),CSDL_Virus!$A$2:$D$41,4,FALSE()),"Chưa phân loại")</f>
        <v>Nghiêm trọng</v>
      </c>
    </row>
    <row r="182" customFormat="false" ht="15" hidden="false" customHeight="false" outlineLevel="0" collapsed="false">
      <c r="A182" s="7" t="n">
        <v>46315.3729166667</v>
      </c>
      <c r="B182" s="6" t="s">
        <v>119</v>
      </c>
      <c r="C182" s="6" t="s">
        <v>318</v>
      </c>
      <c r="D182" s="6" t="s">
        <v>74</v>
      </c>
      <c r="E182" s="6" t="str">
        <f aca="false">IFERROR(VLOOKUP(TRIM(SUBSTITUTE($D182,_xlfn.UNICHAR(160)," ")),CSDL_Virus!$A$2:$D$41,2,FALSE()),"Chưa phân loại")</f>
        <v>IronFlock</v>
      </c>
      <c r="F182" s="6" t="str">
        <f aca="false">IFERROR(VLOOKUP(TRIM(SUBSTITUTE($D182,_xlfn.UNICHAR(160)," ")),CSDL_Virus!$A$2:$D$41,3,FALSE()),"Chưa phân loại")</f>
        <v>Botnet</v>
      </c>
      <c r="G182" s="6" t="str">
        <f aca="false">IFERROR(VLOOKUP(TRIM(SUBSTITUTE($D182,_xlfn.UNICHAR(160)," ")),CSDL_Virus!$A$2:$D$41,4,FALSE()),"Chưa phân loại")</f>
        <v>Cao</v>
      </c>
    </row>
    <row r="183" customFormat="false" ht="15" hidden="false" customHeight="false" outlineLevel="0" collapsed="false">
      <c r="A183" s="7" t="n">
        <v>46315.3888888889</v>
      </c>
      <c r="B183" s="6" t="s">
        <v>141</v>
      </c>
      <c r="C183" s="6" t="s">
        <v>319</v>
      </c>
      <c r="D183" s="6" t="s">
        <v>105</v>
      </c>
      <c r="E183" s="6" t="str">
        <f aca="false">IFERROR(VLOOKUP(TRIM(SUBSTITUTE($D183,_xlfn.UNICHAR(160)," ")),CSDL_Virus!$A$2:$D$41,2,FALSE()),"Chưa phân loại")</f>
        <v>SilkLure</v>
      </c>
      <c r="F183" s="6" t="str">
        <f aca="false">IFERROR(VLOOKUP(TRIM(SUBSTITUTE($D183,_xlfn.UNICHAR(160)," ")),CSDL_Virus!$A$2:$D$41,3,FALSE()),"Chưa phân loại")</f>
        <v>Phishing kit</v>
      </c>
      <c r="G183" s="6" t="str">
        <f aca="false">IFERROR(VLOOKUP(TRIM(SUBSTITUTE($D183,_xlfn.UNICHAR(160)," ")),CSDL_Virus!$A$2:$D$41,4,FALSE()),"Chưa phân loại")</f>
        <v>Thấp</v>
      </c>
    </row>
    <row r="184" customFormat="false" ht="15" hidden="false" customHeight="false" outlineLevel="0" collapsed="false">
      <c r="A184" s="7" t="n">
        <v>46315.3916666667</v>
      </c>
      <c r="B184" s="6" t="s">
        <v>117</v>
      </c>
      <c r="C184" s="6" t="s">
        <v>303</v>
      </c>
      <c r="D184" s="6" t="s">
        <v>60</v>
      </c>
      <c r="E184" s="6" t="str">
        <f aca="false">IFERROR(VLOOKUP(TRIM(SUBSTITUTE($D184,_xlfn.UNICHAR(160)," ")),CSDL_Virus!$A$2:$D$41,2,FALSE()),"Chưa phân loại")</f>
        <v>TideRoot</v>
      </c>
      <c r="F184" s="6" t="str">
        <f aca="false">IFERROR(VLOOKUP(TRIM(SUBSTITUTE($D184,_xlfn.UNICHAR(160)," ")),CSDL_Virus!$A$2:$D$41,3,FALSE()),"Chưa phân loại")</f>
        <v>Worm</v>
      </c>
      <c r="G184" s="6" t="str">
        <f aca="false">IFERROR(VLOOKUP(TRIM(SUBSTITUTE($D184,_xlfn.UNICHAR(160)," ")),CSDL_Virus!$A$2:$D$41,4,FALSE()),"Chưa phân loại")</f>
        <v>Thấp</v>
      </c>
    </row>
    <row r="185" customFormat="false" ht="15" hidden="false" customHeight="false" outlineLevel="0" collapsed="false">
      <c r="A185" s="7" t="n">
        <v>46315.4576388889</v>
      </c>
      <c r="B185" s="6" t="s">
        <v>139</v>
      </c>
      <c r="C185" s="6" t="s">
        <v>162</v>
      </c>
      <c r="D185" s="6" t="s">
        <v>320</v>
      </c>
      <c r="E185" s="6" t="str">
        <f aca="false">IFERROR(VLOOKUP(TRIM(SUBSTITUTE($D185,_xlfn.UNICHAR(160)," ")),CSDL_Virus!$A$2:$D$41,2,FALSE()),"Chưa phân loại")</f>
        <v>AshCrypt</v>
      </c>
      <c r="F185" s="6" t="str">
        <f aca="false">IFERROR(VLOOKUP(TRIM(SUBSTITUTE($D185,_xlfn.UNICHAR(160)," ")),CSDL_Virus!$A$2:$D$41,3,FALSE()),"Chưa phân loại")</f>
        <v>Ransomware</v>
      </c>
      <c r="G185" s="6" t="str">
        <f aca="false">IFERROR(VLOOKUP(TRIM(SUBSTITUTE($D185,_xlfn.UNICHAR(160)," ")),CSDL_Virus!$A$2:$D$41,4,FALSE()),"Chưa phân loại")</f>
        <v>Cao</v>
      </c>
    </row>
    <row r="186" customFormat="false" ht="15" hidden="false" customHeight="false" outlineLevel="0" collapsed="false">
      <c r="A186" s="7" t="n">
        <v>46315.54375</v>
      </c>
      <c r="B186" s="6" t="s">
        <v>127</v>
      </c>
      <c r="C186" s="6" t="s">
        <v>321</v>
      </c>
      <c r="D186" s="6" t="s">
        <v>56</v>
      </c>
      <c r="E186" s="6" t="str">
        <f aca="false">IFERROR(VLOOKUP(TRIM(SUBSTITUTE($D186,_xlfn.UNICHAR(160)," ")),CSDL_Virus!$A$2:$D$41,2,FALSE()),"Chưa phân loại")</f>
        <v>EchoSwarm</v>
      </c>
      <c r="F186" s="6" t="str">
        <f aca="false">IFERROR(VLOOKUP(TRIM(SUBSTITUTE($D186,_xlfn.UNICHAR(160)," ")),CSDL_Virus!$A$2:$D$41,3,FALSE()),"Chưa phân loại")</f>
        <v>Worm</v>
      </c>
      <c r="G186" s="6" t="str">
        <f aca="false">IFERROR(VLOOKUP(TRIM(SUBSTITUTE($D186,_xlfn.UNICHAR(160)," ")),CSDL_Virus!$A$2:$D$41,4,FALSE()),"Chưa phân loại")</f>
        <v>Trung bình</v>
      </c>
    </row>
    <row r="187" customFormat="false" ht="15" hidden="false" customHeight="false" outlineLevel="0" collapsed="false">
      <c r="A187" s="7" t="n">
        <v>46315.6277777778</v>
      </c>
      <c r="B187" s="6" t="s">
        <v>141</v>
      </c>
      <c r="C187" s="6" t="s">
        <v>169</v>
      </c>
      <c r="D187" s="6" t="s">
        <v>45</v>
      </c>
      <c r="E187" s="6" t="str">
        <f aca="false">IFERROR(VLOOKUP(TRIM(SUBSTITUTE($D187,_xlfn.UNICHAR(160)," ")),CSDL_Virus!$A$2:$D$41,2,FALSE()),"Chưa phân loại")</f>
        <v>DriftKey</v>
      </c>
      <c r="F187" s="6" t="str">
        <f aca="false">IFERROR(VLOOKUP(TRIM(SUBSTITUTE($D187,_xlfn.UNICHAR(160)," ")),CSDL_Virus!$A$2:$D$41,3,FALSE()),"Chưa phân loại")</f>
        <v>Trojan</v>
      </c>
      <c r="G187" s="6" t="str">
        <f aca="false">IFERROR(VLOOKUP(TRIM(SUBSTITUTE($D187,_xlfn.UNICHAR(160)," ")),CSDL_Virus!$A$2:$D$41,4,FALSE()),"Chưa phân loại")</f>
        <v>Nghiêm trọng</v>
      </c>
    </row>
    <row r="188" customFormat="false" ht="15" hidden="false" customHeight="false" outlineLevel="0" collapsed="false">
      <c r="A188" s="7" t="n">
        <v>46315.7</v>
      </c>
      <c r="B188" s="6" t="s">
        <v>119</v>
      </c>
      <c r="C188" s="6" t="s">
        <v>322</v>
      </c>
      <c r="D188" s="6" t="s">
        <v>74</v>
      </c>
      <c r="E188" s="6" t="str">
        <f aca="false">IFERROR(VLOOKUP(TRIM(SUBSTITUTE($D188,_xlfn.UNICHAR(160)," ")),CSDL_Virus!$A$2:$D$41,2,FALSE()),"Chưa phân loại")</f>
        <v>IronFlock</v>
      </c>
      <c r="F188" s="6" t="str">
        <f aca="false">IFERROR(VLOOKUP(TRIM(SUBSTITUTE($D188,_xlfn.UNICHAR(160)," ")),CSDL_Virus!$A$2:$D$41,3,FALSE()),"Chưa phân loại")</f>
        <v>Botnet</v>
      </c>
      <c r="G188" s="6" t="str">
        <f aca="false">IFERROR(VLOOKUP(TRIM(SUBSTITUTE($D188,_xlfn.UNICHAR(160)," ")),CSDL_Virus!$A$2:$D$41,4,FALSE()),"Chưa phân loại")</f>
        <v>Cao</v>
      </c>
    </row>
    <row r="189" customFormat="false" ht="15" hidden="false" customHeight="false" outlineLevel="0" collapsed="false">
      <c r="A189" s="7" t="n">
        <v>46315.7319444444</v>
      </c>
      <c r="B189" s="6" t="s">
        <v>139</v>
      </c>
      <c r="C189" s="6" t="s">
        <v>315</v>
      </c>
      <c r="D189" s="6" t="s">
        <v>101</v>
      </c>
      <c r="E189" s="6" t="str">
        <f aca="false">IFERROR(VLOOKUP(TRIM(SUBSTITUTE($D189,_xlfn.UNICHAR(160)," ")),CSDL_Virus!$A$2:$D$41,2,FALSE()),"Chưa phân loại")</f>
        <v>HookLedger</v>
      </c>
      <c r="F189" s="6" t="str">
        <f aca="false">IFERROR(VLOOKUP(TRIM(SUBSTITUTE($D189,_xlfn.UNICHAR(160)," ")),CSDL_Virus!$A$2:$D$41,3,FALSE()),"Chưa phân loại")</f>
        <v>Phishing kit</v>
      </c>
      <c r="G189" s="6" t="str">
        <f aca="false">IFERROR(VLOOKUP(TRIM(SUBSTITUTE($D189,_xlfn.UNICHAR(160)," ")),CSDL_Virus!$A$2:$D$41,4,FALSE()),"Chưa phân loại")</f>
        <v>Cao</v>
      </c>
    </row>
    <row r="190" customFormat="false" ht="15" hidden="false" customHeight="false" outlineLevel="0" collapsed="false">
      <c r="A190" s="7" t="n">
        <v>46315.7472222222</v>
      </c>
      <c r="B190" s="6" t="s">
        <v>132</v>
      </c>
      <c r="C190" s="6" t="s">
        <v>323</v>
      </c>
      <c r="D190" s="6" t="s">
        <v>324</v>
      </c>
      <c r="E190" s="6" t="str">
        <f aca="false">IFERROR(VLOOKUP(TRIM(SUBSTITUTE($D190,_xlfn.UNICHAR(160)," ")),CSDL_Virus!$A$2:$D$41,2,FALSE()),"Chưa phân loại")</f>
        <v>HookLedger</v>
      </c>
      <c r="F190" s="6" t="str">
        <f aca="false">IFERROR(VLOOKUP(TRIM(SUBSTITUTE($D190,_xlfn.UNICHAR(160)," ")),CSDL_Virus!$A$2:$D$41,3,FALSE()),"Chưa phân loại")</f>
        <v>Phishing kit</v>
      </c>
      <c r="G190" s="6" t="str">
        <f aca="false">IFERROR(VLOOKUP(TRIM(SUBSTITUTE($D190,_xlfn.UNICHAR(160)," ")),CSDL_Virus!$A$2:$D$41,4,FALSE()),"Chưa phân loại")</f>
        <v>Cao</v>
      </c>
    </row>
    <row r="191" customFormat="false" ht="15" hidden="false" customHeight="false" outlineLevel="0" collapsed="false">
      <c r="A191" s="7" t="n">
        <v>46315.7854166667</v>
      </c>
      <c r="B191" s="6" t="s">
        <v>141</v>
      </c>
      <c r="C191" s="6" t="s">
        <v>325</v>
      </c>
      <c r="D191" s="6" t="s">
        <v>30</v>
      </c>
      <c r="E191" s="6" t="str">
        <f aca="false">IFERROR(VLOOKUP(TRIM(SUBSTITUTE($D191,_xlfn.UNICHAR(160)," ")),CSDL_Virus!$A$2:$D$41,2,FALSE()),"Chưa phân loại")</f>
        <v>AshCrypt</v>
      </c>
      <c r="F191" s="6" t="str">
        <f aca="false">IFERROR(VLOOKUP(TRIM(SUBSTITUTE($D191,_xlfn.UNICHAR(160)," ")),CSDL_Virus!$A$2:$D$41,3,FALSE()),"Chưa phân loại")</f>
        <v>Ransomware</v>
      </c>
      <c r="G191" s="6" t="str">
        <f aca="false">IFERROR(VLOOKUP(TRIM(SUBSTITUTE($D191,_xlfn.UNICHAR(160)," ")),CSDL_Virus!$A$2:$D$41,4,FALSE()),"Chưa phân loại")</f>
        <v>Cao</v>
      </c>
    </row>
    <row r="192" customFormat="false" ht="15" hidden="false" customHeight="false" outlineLevel="0" collapsed="false">
      <c r="A192" s="7" t="n">
        <v>46315.7875</v>
      </c>
      <c r="B192" s="6" t="s">
        <v>139</v>
      </c>
      <c r="C192" s="6" t="s">
        <v>326</v>
      </c>
      <c r="D192" s="6" t="s">
        <v>107</v>
      </c>
      <c r="E192" s="6" t="str">
        <f aca="false">IFERROR(VLOOKUP(TRIM(SUBSTITUTE($D192,_xlfn.UNICHAR(160)," ")),CSDL_Virus!$A$2:$D$41,2,FALSE()),"Chưa phân loại")</f>
        <v>DeepAnchor</v>
      </c>
      <c r="F192" s="6" t="str">
        <f aca="false">IFERROR(VLOOKUP(TRIM(SUBSTITUTE($D192,_xlfn.UNICHAR(160)," ")),CSDL_Virus!$A$2:$D$41,3,FALSE()),"Chưa phân loại")</f>
        <v>Ransomware</v>
      </c>
      <c r="G192" s="6" t="str">
        <f aca="false">IFERROR(VLOOKUP(TRIM(SUBSTITUTE($D192,_xlfn.UNICHAR(160)," ")),CSDL_Virus!$A$2:$D$41,4,FALSE()),"Chưa phân loại")</f>
        <v>Nghiêm trọng</v>
      </c>
    </row>
    <row r="193" customFormat="false" ht="15" hidden="false" customHeight="false" outlineLevel="0" collapsed="false">
      <c r="A193" s="7" t="n">
        <v>46315.7951388889</v>
      </c>
      <c r="B193" s="6" t="s">
        <v>172</v>
      </c>
      <c r="C193" s="6" t="s">
        <v>251</v>
      </c>
      <c r="D193" s="6" t="s">
        <v>54</v>
      </c>
      <c r="E193" s="6" t="str">
        <f aca="false">IFERROR(VLOOKUP(TRIM(SUBSTITUTE($D193,_xlfn.UNICHAR(160)," ")),CSDL_Virus!$A$2:$D$41,2,FALSE()),"Chưa phân loại")</f>
        <v>LongCrawl</v>
      </c>
      <c r="F193" s="6" t="str">
        <f aca="false">IFERROR(VLOOKUP(TRIM(SUBSTITUTE($D193,_xlfn.UNICHAR(160)," ")),CSDL_Virus!$A$2:$D$41,3,FALSE()),"Chưa phân loại")</f>
        <v>Worm</v>
      </c>
      <c r="G193" s="6" t="str">
        <f aca="false">IFERROR(VLOOKUP(TRIM(SUBSTITUTE($D193,_xlfn.UNICHAR(160)," ")),CSDL_Virus!$A$2:$D$41,4,FALSE()),"Chưa phân loại")</f>
        <v>Trung bình</v>
      </c>
    </row>
    <row r="194" customFormat="false" ht="15" hidden="false" customHeight="false" outlineLevel="0" collapsed="false">
      <c r="A194" s="7" t="n">
        <v>46315.8333333333</v>
      </c>
      <c r="B194" s="6" t="s">
        <v>127</v>
      </c>
      <c r="C194" s="6" t="s">
        <v>153</v>
      </c>
      <c r="D194" s="6" t="s">
        <v>327</v>
      </c>
      <c r="E194" s="6" t="str">
        <f aca="false">IFERROR(VLOOKUP(TRIM(SUBSTITUTE($D194,_xlfn.UNICHAR(160)," ")),CSDL_Virus!$A$2:$D$41,2,FALSE()),"Chưa phân loại")</f>
        <v>LongCrawl</v>
      </c>
      <c r="F194" s="6" t="str">
        <f aca="false">IFERROR(VLOOKUP(TRIM(SUBSTITUTE($D194,_xlfn.UNICHAR(160)," ")),CSDL_Virus!$A$2:$D$41,3,FALSE()),"Chưa phân loại")</f>
        <v>Worm</v>
      </c>
      <c r="G194" s="6" t="str">
        <f aca="false">IFERROR(VLOOKUP(TRIM(SUBSTITUTE($D194,_xlfn.UNICHAR(160)," ")),CSDL_Virus!$A$2:$D$41,4,FALSE()),"Chưa phân loại")</f>
        <v>Trung bình</v>
      </c>
    </row>
    <row r="195" customFormat="false" ht="15" hidden="false" customHeight="false" outlineLevel="0" collapsed="false">
      <c r="A195" s="7" t="n">
        <v>46315.8388888889</v>
      </c>
      <c r="B195" s="6" t="s">
        <v>141</v>
      </c>
      <c r="C195" s="6" t="s">
        <v>328</v>
      </c>
      <c r="D195" s="6" t="s">
        <v>30</v>
      </c>
      <c r="E195" s="6" t="str">
        <f aca="false">IFERROR(VLOOKUP(TRIM(SUBSTITUTE($D195,_xlfn.UNICHAR(160)," ")),CSDL_Virus!$A$2:$D$41,2,FALSE()),"Chưa phân loại")</f>
        <v>AshCrypt</v>
      </c>
      <c r="F195" s="6" t="str">
        <f aca="false">IFERROR(VLOOKUP(TRIM(SUBSTITUTE($D195,_xlfn.UNICHAR(160)," ")),CSDL_Virus!$A$2:$D$41,3,FALSE()),"Chưa phân loại")</f>
        <v>Ransomware</v>
      </c>
      <c r="G195" s="6" t="str">
        <f aca="false">IFERROR(VLOOKUP(TRIM(SUBSTITUTE($D195,_xlfn.UNICHAR(160)," ")),CSDL_Virus!$A$2:$D$41,4,FALSE()),"Chưa phân loại")</f>
        <v>Cao</v>
      </c>
    </row>
    <row r="196" customFormat="false" ht="15" hidden="false" customHeight="false" outlineLevel="0" collapsed="false">
      <c r="A196" s="7" t="n">
        <v>46315.9111111111</v>
      </c>
      <c r="B196" s="6" t="s">
        <v>127</v>
      </c>
      <c r="C196" s="6" t="s">
        <v>329</v>
      </c>
      <c r="D196" s="6" t="s">
        <v>40</v>
      </c>
      <c r="E196" s="6" t="str">
        <f aca="false">IFERROR(VLOOKUP(TRIM(SUBSTITUTE($D196,_xlfn.UNICHAR(160)," ")),CSDL_Virus!$A$2:$D$41,2,FALSE()),"Chưa phân loại")</f>
        <v>HollowDoor</v>
      </c>
      <c r="F196" s="6" t="str">
        <f aca="false">IFERROR(VLOOKUP(TRIM(SUBSTITUTE($D196,_xlfn.UNICHAR(160)," ")),CSDL_Virus!$A$2:$D$41,3,FALSE()),"Chưa phân loại")</f>
        <v>Trojan</v>
      </c>
      <c r="G196" s="6" t="str">
        <f aca="false">IFERROR(VLOOKUP(TRIM(SUBSTITUTE($D196,_xlfn.UNICHAR(160)," ")),CSDL_Virus!$A$2:$D$41,4,FALSE()),"Chưa phân loại")</f>
        <v>Cao</v>
      </c>
    </row>
    <row r="197" customFormat="false" ht="15" hidden="false" customHeight="false" outlineLevel="0" collapsed="false">
      <c r="A197" s="7" t="n">
        <v>46315.9715277778</v>
      </c>
      <c r="B197" s="6" t="s">
        <v>141</v>
      </c>
      <c r="C197" s="6" t="s">
        <v>217</v>
      </c>
      <c r="D197" s="6" t="s">
        <v>58</v>
      </c>
      <c r="E197" s="6" t="str">
        <f aca="false">IFERROR(VLOOKUP(TRIM(SUBSTITUTE($D197,_xlfn.UNICHAR(160)," ")),CSDL_Virus!$A$2:$D$41,2,FALSE()),"Chưa phân loại")</f>
        <v>BrightFuse</v>
      </c>
      <c r="F197" s="6" t="str">
        <f aca="false">IFERROR(VLOOKUP(TRIM(SUBSTITUTE($D197,_xlfn.UNICHAR(160)," ")),CSDL_Virus!$A$2:$D$41,3,FALSE()),"Chưa phân loại")</f>
        <v>Worm</v>
      </c>
      <c r="G197" s="6" t="str">
        <f aca="false">IFERROR(VLOOKUP(TRIM(SUBSTITUTE($D197,_xlfn.UNICHAR(160)," ")),CSDL_Virus!$A$2:$D$41,4,FALSE()),"Chưa phân loại")</f>
        <v>Cao</v>
      </c>
    </row>
    <row r="198" customFormat="false" ht="15" hidden="false" customHeight="false" outlineLevel="0" collapsed="false">
      <c r="A198" s="7" t="n">
        <v>46315.9847222222</v>
      </c>
      <c r="B198" s="6" t="s">
        <v>117</v>
      </c>
      <c r="C198" s="6" t="s">
        <v>157</v>
      </c>
      <c r="D198" s="6" t="s">
        <v>81</v>
      </c>
      <c r="E198" s="6" t="str">
        <f aca="false">IFERROR(VLOOKUP(TRIM(SUBSTITUTE($D198,_xlfn.UNICHAR(160)," ")),CSDL_Virus!$A$2:$D$41,2,FALSE()),"Chưa phân loại")</f>
        <v>StormHerd</v>
      </c>
      <c r="F198" s="6" t="str">
        <f aca="false">IFERROR(VLOOKUP(TRIM(SUBSTITUTE($D198,_xlfn.UNICHAR(160)," ")),CSDL_Virus!$A$2:$D$41,3,FALSE()),"Chưa phân loại")</f>
        <v>Botnet</v>
      </c>
      <c r="G198" s="6" t="str">
        <f aca="false">IFERROR(VLOOKUP(TRIM(SUBSTITUTE($D198,_xlfn.UNICHAR(160)," ")),CSDL_Virus!$A$2:$D$41,4,FALSE()),"Chưa phân loại")</f>
        <v>Trung bình</v>
      </c>
    </row>
    <row r="199" customFormat="false" ht="15" hidden="false" customHeight="false" outlineLevel="0" collapsed="false">
      <c r="A199" s="7" t="n">
        <v>46316.0145833333</v>
      </c>
      <c r="B199" s="6" t="s">
        <v>172</v>
      </c>
      <c r="C199" s="6" t="s">
        <v>217</v>
      </c>
      <c r="D199" s="6" t="s">
        <v>105</v>
      </c>
      <c r="E199" s="6" t="str">
        <f aca="false">IFERROR(VLOOKUP(TRIM(SUBSTITUTE($D199,_xlfn.UNICHAR(160)," ")),CSDL_Virus!$A$2:$D$41,2,FALSE()),"Chưa phân loại")</f>
        <v>SilkLure</v>
      </c>
      <c r="F199" s="6" t="str">
        <f aca="false">IFERROR(VLOOKUP(TRIM(SUBSTITUTE($D199,_xlfn.UNICHAR(160)," ")),CSDL_Virus!$A$2:$D$41,3,FALSE()),"Chưa phân loại")</f>
        <v>Phishing kit</v>
      </c>
      <c r="G199" s="6" t="str">
        <f aca="false">IFERROR(VLOOKUP(TRIM(SUBSTITUTE($D199,_xlfn.UNICHAR(160)," ")),CSDL_Virus!$A$2:$D$41,4,FALSE()),"Chưa phân loại")</f>
        <v>Thấp</v>
      </c>
    </row>
    <row r="200" customFormat="false" ht="15" hidden="false" customHeight="false" outlineLevel="0" collapsed="false">
      <c r="A200" s="7" t="n">
        <v>46316.0430555556</v>
      </c>
      <c r="B200" s="6" t="s">
        <v>141</v>
      </c>
      <c r="C200" s="6" t="s">
        <v>177</v>
      </c>
      <c r="D200" s="6" t="s">
        <v>111</v>
      </c>
      <c r="E200" s="6" t="str">
        <f aca="false">IFERROR(VLOOKUP(TRIM(SUBSTITUTE($D200,_xlfn.UNICHAR(160)," ")),CSDL_Virus!$A$2:$D$41,2,FALSE()),"Chưa phân loại")</f>
        <v>AshMirror</v>
      </c>
      <c r="F200" s="6" t="str">
        <f aca="false">IFERROR(VLOOKUP(TRIM(SUBSTITUTE($D200,_xlfn.UNICHAR(160)," ")),CSDL_Virus!$A$2:$D$41,3,FALSE()),"Chưa phân loại")</f>
        <v>Spyware</v>
      </c>
      <c r="G200" s="6" t="str">
        <f aca="false">IFERROR(VLOOKUP(TRIM(SUBSTITUTE($D200,_xlfn.UNICHAR(160)," ")),CSDL_Virus!$A$2:$D$41,4,FALSE()),"Chưa phân loại")</f>
        <v>Cao</v>
      </c>
    </row>
    <row r="201" customFormat="false" ht="15" hidden="false" customHeight="false" outlineLevel="0" collapsed="false">
      <c r="A201" s="7" t="n">
        <v>46316.1111111111</v>
      </c>
      <c r="B201" s="6" t="s">
        <v>141</v>
      </c>
      <c r="C201" s="6" t="s">
        <v>330</v>
      </c>
      <c r="D201" s="6" t="s">
        <v>101</v>
      </c>
      <c r="E201" s="6" t="str">
        <f aca="false">IFERROR(VLOOKUP(TRIM(SUBSTITUTE($D201,_xlfn.UNICHAR(160)," ")),CSDL_Virus!$A$2:$D$41,2,FALSE()),"Chưa phân loại")</f>
        <v>HookLedger</v>
      </c>
      <c r="F201" s="6" t="str">
        <f aca="false">IFERROR(VLOOKUP(TRIM(SUBSTITUTE($D201,_xlfn.UNICHAR(160)," ")),CSDL_Virus!$A$2:$D$41,3,FALSE()),"Chưa phân loại")</f>
        <v>Phishing kit</v>
      </c>
      <c r="G201" s="6" t="str">
        <f aca="false">IFERROR(VLOOKUP(TRIM(SUBSTITUTE($D201,_xlfn.UNICHAR(160)," ")),CSDL_Virus!$A$2:$D$41,4,FALSE()),"Chưa phân loại")</f>
        <v>Cao</v>
      </c>
    </row>
    <row r="202" customFormat="false" ht="15" hidden="false" customHeight="false" outlineLevel="0" collapsed="false">
      <c r="A202" s="7" t="n">
        <v>46316.2104166667</v>
      </c>
      <c r="B202" s="6" t="s">
        <v>124</v>
      </c>
      <c r="C202" s="6" t="s">
        <v>266</v>
      </c>
      <c r="D202" s="6" t="s">
        <v>99</v>
      </c>
      <c r="E202" s="6" t="str">
        <f aca="false">IFERROR(VLOOKUP(TRIM(SUBSTITUTE($D202,_xlfn.UNICHAR(160)," ")),CSDL_Virus!$A$2:$D$41,2,FALSE()),"Chưa phân loại")</f>
        <v>FakeDawn</v>
      </c>
      <c r="F202" s="6" t="str">
        <f aca="false">IFERROR(VLOOKUP(TRIM(SUBSTITUTE($D202,_xlfn.UNICHAR(160)," ")),CSDL_Virus!$A$2:$D$41,3,FALSE()),"Chưa phân loại")</f>
        <v>Phishing kit</v>
      </c>
      <c r="G202" s="6" t="str">
        <f aca="false">IFERROR(VLOOKUP(TRIM(SUBSTITUTE($D202,_xlfn.UNICHAR(160)," ")),CSDL_Virus!$A$2:$D$41,4,FALSE()),"Chưa phân loại")</f>
        <v>Trung bình</v>
      </c>
    </row>
    <row r="203" customFormat="false" ht="15" hidden="false" customHeight="false" outlineLevel="0" collapsed="false">
      <c r="A203" s="7" t="n">
        <v>46316.25625</v>
      </c>
      <c r="B203" s="6" t="s">
        <v>119</v>
      </c>
      <c r="C203" s="6" t="s">
        <v>331</v>
      </c>
      <c r="D203" s="6" t="s">
        <v>77</v>
      </c>
      <c r="E203" s="6" t="str">
        <f aca="false">IFERROR(VLOOKUP(TRIM(SUBSTITUTE($D203,_xlfn.UNICHAR(160)," ")),CSDL_Virus!$A$2:$D$41,2,FALSE()),"Chưa phân loại")</f>
        <v>HiveNote</v>
      </c>
      <c r="F203" s="6" t="str">
        <f aca="false">IFERROR(VLOOKUP(TRIM(SUBSTITUTE($D203,_xlfn.UNICHAR(160)," ")),CSDL_Virus!$A$2:$D$41,3,FALSE()),"Chưa phân loại")</f>
        <v>Botnet</v>
      </c>
      <c r="G203" s="6" t="str">
        <f aca="false">IFERROR(VLOOKUP(TRIM(SUBSTITUTE($D203,_xlfn.UNICHAR(160)," ")),CSDL_Virus!$A$2:$D$41,4,FALSE()),"Chưa phân loại")</f>
        <v>Trung bình</v>
      </c>
    </row>
    <row r="204" customFormat="false" ht="15" hidden="false" customHeight="false" outlineLevel="0" collapsed="false">
      <c r="A204" s="7" t="n">
        <v>46316.3305555556</v>
      </c>
      <c r="B204" s="6" t="s">
        <v>127</v>
      </c>
      <c r="C204" s="6" t="s">
        <v>251</v>
      </c>
      <c r="D204" s="6" t="s">
        <v>37</v>
      </c>
      <c r="E204" s="6" t="str">
        <f aca="false">IFERROR(VLOOKUP(TRIM(SUBSTITUTE($D204,_xlfn.UNICHAR(160)," ")),CSDL_Virus!$A$2:$D$41,2,FALSE()),"Chưa phân loại")</f>
        <v>SilentBank</v>
      </c>
      <c r="F204" s="6" t="str">
        <f aca="false">IFERROR(VLOOKUP(TRIM(SUBSTITUTE($D204,_xlfn.UNICHAR(160)," ")),CSDL_Virus!$A$2:$D$41,3,FALSE()),"Chưa phân loại")</f>
        <v>Trojan</v>
      </c>
      <c r="G204" s="6" t="str">
        <f aca="false">IFERROR(VLOOKUP(TRIM(SUBSTITUTE($D204,_xlfn.UNICHAR(160)," ")),CSDL_Virus!$A$2:$D$41,4,FALSE()),"Chưa phân loại")</f>
        <v>Cao</v>
      </c>
    </row>
    <row r="205" customFormat="false" ht="15" hidden="false" customHeight="false" outlineLevel="0" collapsed="false">
      <c r="A205" s="7" t="n">
        <v>46316.3618055556</v>
      </c>
      <c r="B205" s="6" t="s">
        <v>117</v>
      </c>
      <c r="C205" s="6" t="s">
        <v>332</v>
      </c>
      <c r="D205" s="6" t="s">
        <v>197</v>
      </c>
      <c r="E205" s="6" t="str">
        <f aca="false">IFERROR(VLOOKUP(TRIM(SUBSTITUTE($D205,_xlfn.UNICHAR(160)," ")),CSDL_Virus!$A$2:$D$41,2,FALSE()),"Chưa phân loại")</f>
        <v>Chưa phân loại</v>
      </c>
      <c r="F205" s="6" t="str">
        <f aca="false">IFERROR(VLOOKUP(TRIM(SUBSTITUTE($D205,_xlfn.UNICHAR(160)," ")),CSDL_Virus!$A$2:$D$41,3,FALSE()),"Chưa phân loại")</f>
        <v>Chưa phân loại</v>
      </c>
      <c r="G205" s="6" t="str">
        <f aca="false">IFERROR(VLOOKUP(TRIM(SUBSTITUTE($D205,_xlfn.UNICHAR(160)," ")),CSDL_Virus!$A$2:$D$41,4,FALSE()),"Chưa phân loại")</f>
        <v>Chưa phân loại</v>
      </c>
    </row>
    <row r="206" customFormat="false" ht="15" hidden="false" customHeight="false" outlineLevel="0" collapsed="false">
      <c r="A206" s="7" t="n">
        <v>46316.4715277778</v>
      </c>
      <c r="B206" s="6" t="s">
        <v>124</v>
      </c>
      <c r="C206" s="6" t="s">
        <v>238</v>
      </c>
      <c r="D206" s="6" t="s">
        <v>333</v>
      </c>
      <c r="E206" s="6" t="str">
        <f aca="false">IFERROR(VLOOKUP(TRIM(SUBSTITUTE($D206,_xlfn.UNICHAR(160)," ")),CSDL_Virus!$A$2:$D$41,2,FALSE()),"Chưa phân loại")</f>
        <v>CoinMoth</v>
      </c>
      <c r="F206" s="6" t="str">
        <f aca="false">IFERROR(VLOOKUP(TRIM(SUBSTITUTE($D206,_xlfn.UNICHAR(160)," ")),CSDL_Virus!$A$2:$D$41,3,FALSE()),"Chưa phân loại")</f>
        <v>Cryptominer</v>
      </c>
      <c r="G206" s="6" t="str">
        <f aca="false">IFERROR(VLOOKUP(TRIM(SUBSTITUTE($D206,_xlfn.UNICHAR(160)," ")),CSDL_Virus!$A$2:$D$41,4,FALSE()),"Chưa phân loại")</f>
        <v>Thấp</v>
      </c>
    </row>
    <row r="207" customFormat="false" ht="15" hidden="false" customHeight="false" outlineLevel="0" collapsed="false">
      <c r="A207" s="7" t="n">
        <v>46316.4923611111</v>
      </c>
      <c r="B207" s="6" t="s">
        <v>124</v>
      </c>
      <c r="C207" s="6" t="s">
        <v>334</v>
      </c>
      <c r="D207" s="6" t="s">
        <v>37</v>
      </c>
      <c r="E207" s="6" t="str">
        <f aca="false">IFERROR(VLOOKUP(TRIM(SUBSTITUTE($D207,_xlfn.UNICHAR(160)," ")),CSDL_Virus!$A$2:$D$41,2,FALSE()),"Chưa phân loại")</f>
        <v>SilentBank</v>
      </c>
      <c r="F207" s="6" t="str">
        <f aca="false">IFERROR(VLOOKUP(TRIM(SUBSTITUTE($D207,_xlfn.UNICHAR(160)," ")),CSDL_Virus!$A$2:$D$41,3,FALSE()),"Chưa phân loại")</f>
        <v>Trojan</v>
      </c>
      <c r="G207" s="6" t="str">
        <f aca="false">IFERROR(VLOOKUP(TRIM(SUBSTITUTE($D207,_xlfn.UNICHAR(160)," ")),CSDL_Virus!$A$2:$D$41,4,FALSE()),"Chưa phân loại")</f>
        <v>Cao</v>
      </c>
    </row>
    <row r="208" customFormat="false" ht="15" hidden="false" customHeight="false" outlineLevel="0" collapsed="false">
      <c r="A208" s="7" t="n">
        <v>46316.5395833333</v>
      </c>
      <c r="B208" s="6" t="s">
        <v>141</v>
      </c>
      <c r="C208" s="6" t="s">
        <v>335</v>
      </c>
      <c r="D208" s="6" t="s">
        <v>85</v>
      </c>
      <c r="E208" s="6" t="str">
        <f aca="false">IFERROR(VLOOKUP(TRIM(SUBSTITUTE($D208,_xlfn.UNICHAR(160)," ")),CSDL_Virus!$A$2:$D$41,2,FALSE()),"Chưa phân loại")</f>
        <v>CoinMoth</v>
      </c>
      <c r="F208" s="6" t="str">
        <f aca="false">IFERROR(VLOOKUP(TRIM(SUBSTITUTE($D208,_xlfn.UNICHAR(160)," ")),CSDL_Virus!$A$2:$D$41,3,FALSE()),"Chưa phân loại")</f>
        <v>Cryptominer</v>
      </c>
      <c r="G208" s="6" t="str">
        <f aca="false">IFERROR(VLOOKUP(TRIM(SUBSTITUTE($D208,_xlfn.UNICHAR(160)," ")),CSDL_Virus!$A$2:$D$41,4,FALSE()),"Chưa phân loại")</f>
        <v>Thấp</v>
      </c>
    </row>
    <row r="209" customFormat="false" ht="15" hidden="false" customHeight="false" outlineLevel="0" collapsed="false">
      <c r="A209" s="7" t="n">
        <v>46316.5520833333</v>
      </c>
      <c r="B209" s="6" t="s">
        <v>139</v>
      </c>
      <c r="C209" s="6" t="s">
        <v>336</v>
      </c>
      <c r="D209" s="6" t="s">
        <v>49</v>
      </c>
      <c r="E209" s="6" t="str">
        <f aca="false">IFERROR(VLOOKUP(TRIM(SUBSTITUTE($D209,_xlfn.UNICHAR(160)," ")),CSDL_Virus!$A$2:$D$41,2,FALSE()),"Chưa phân loại")</f>
        <v>CopperVeil</v>
      </c>
      <c r="F209" s="6" t="str">
        <f aca="false">IFERROR(VLOOKUP(TRIM(SUBSTITUTE($D209,_xlfn.UNICHAR(160)," ")),CSDL_Virus!$A$2:$D$41,3,FALSE()),"Chưa phân loại")</f>
        <v>Trojan</v>
      </c>
      <c r="G209" s="6" t="str">
        <f aca="false">IFERROR(VLOOKUP(TRIM(SUBSTITUTE($D209,_xlfn.UNICHAR(160)," ")),CSDL_Virus!$A$2:$D$41,4,FALSE()),"Chưa phân loại")</f>
        <v>Cao</v>
      </c>
    </row>
    <row r="210" customFormat="false" ht="15" hidden="false" customHeight="false" outlineLevel="0" collapsed="false">
      <c r="A210" s="7" t="n">
        <v>46316.5743055556</v>
      </c>
      <c r="B210" s="6" t="s">
        <v>124</v>
      </c>
      <c r="C210" s="6" t="s">
        <v>337</v>
      </c>
      <c r="D210" s="6" t="s">
        <v>37</v>
      </c>
      <c r="E210" s="6" t="str">
        <f aca="false">IFERROR(VLOOKUP(TRIM(SUBSTITUTE($D210,_xlfn.UNICHAR(160)," ")),CSDL_Virus!$A$2:$D$41,2,FALSE()),"Chưa phân loại")</f>
        <v>SilentBank</v>
      </c>
      <c r="F210" s="6" t="str">
        <f aca="false">IFERROR(VLOOKUP(TRIM(SUBSTITUTE($D210,_xlfn.UNICHAR(160)," ")),CSDL_Virus!$A$2:$D$41,3,FALSE()),"Chưa phân loại")</f>
        <v>Trojan</v>
      </c>
      <c r="G210" s="6" t="str">
        <f aca="false">IFERROR(VLOOKUP(TRIM(SUBSTITUTE($D210,_xlfn.UNICHAR(160)," ")),CSDL_Virus!$A$2:$D$41,4,FALSE()),"Chưa phân loại")</f>
        <v>Cao</v>
      </c>
    </row>
    <row r="211" customFormat="false" ht="15" hidden="false" customHeight="false" outlineLevel="0" collapsed="false">
      <c r="A211" s="7" t="n">
        <v>46316.5756944444</v>
      </c>
      <c r="B211" s="6" t="s">
        <v>127</v>
      </c>
      <c r="C211" s="6" t="s">
        <v>338</v>
      </c>
      <c r="D211" s="6" t="s">
        <v>42</v>
      </c>
      <c r="E211" s="6" t="str">
        <f aca="false">IFERROR(VLOOKUP(TRIM(SUBSTITUTE($D211,_xlfn.UNICHAR(160)," ")),CSDL_Virus!$A$2:$D$41,2,FALSE()),"Chưa phân loại")</f>
        <v>PaleMask</v>
      </c>
      <c r="F211" s="6" t="str">
        <f aca="false">IFERROR(VLOOKUP(TRIM(SUBSTITUTE($D211,_xlfn.UNICHAR(160)," ")),CSDL_Virus!$A$2:$D$41,3,FALSE()),"Chưa phân loại")</f>
        <v>Trojan</v>
      </c>
      <c r="G211" s="6" t="str">
        <f aca="false">IFERROR(VLOOKUP(TRIM(SUBSTITUTE($D211,_xlfn.UNICHAR(160)," ")),CSDL_Virus!$A$2:$D$41,4,FALSE()),"Chưa phân loại")</f>
        <v>Trung bình</v>
      </c>
    </row>
    <row r="212" customFormat="false" ht="15" hidden="false" customHeight="false" outlineLevel="0" collapsed="false">
      <c r="A212" s="7" t="n">
        <v>46316.5902777778</v>
      </c>
      <c r="B212" s="6" t="s">
        <v>119</v>
      </c>
      <c r="C212" s="6" t="s">
        <v>339</v>
      </c>
      <c r="D212" s="6" t="s">
        <v>56</v>
      </c>
      <c r="E212" s="6" t="str">
        <f aca="false">IFERROR(VLOOKUP(TRIM(SUBSTITUTE($D212,_xlfn.UNICHAR(160)," ")),CSDL_Virus!$A$2:$D$41,2,FALSE()),"Chưa phân loại")</f>
        <v>EchoSwarm</v>
      </c>
      <c r="F212" s="6" t="str">
        <f aca="false">IFERROR(VLOOKUP(TRIM(SUBSTITUTE($D212,_xlfn.UNICHAR(160)," ")),CSDL_Virus!$A$2:$D$41,3,FALSE()),"Chưa phân loại")</f>
        <v>Worm</v>
      </c>
      <c r="G212" s="6" t="str">
        <f aca="false">IFERROR(VLOOKUP(TRIM(SUBSTITUTE($D212,_xlfn.UNICHAR(160)," ")),CSDL_Virus!$A$2:$D$41,4,FALSE()),"Chưa phân loại")</f>
        <v>Trung bình</v>
      </c>
    </row>
    <row r="213" customFormat="false" ht="15" hidden="false" customHeight="false" outlineLevel="0" collapsed="false">
      <c r="A213" s="7" t="n">
        <v>46316.8048611111</v>
      </c>
      <c r="B213" s="6" t="s">
        <v>119</v>
      </c>
      <c r="C213" s="6" t="s">
        <v>340</v>
      </c>
      <c r="D213" s="6" t="s">
        <v>72</v>
      </c>
      <c r="E213" s="6" t="str">
        <f aca="false">IFERROR(VLOOKUP(TRIM(SUBSTITUTE($D213,_xlfn.UNICHAR(160)," ")),CSDL_Virus!$A$2:$D$41,2,FALSE()),"Chưa phân loại")</f>
        <v>PaperOwl</v>
      </c>
      <c r="F213" s="6" t="str">
        <f aca="false">IFERROR(VLOOKUP(TRIM(SUBSTITUTE($D213,_xlfn.UNICHAR(160)," ")),CSDL_Virus!$A$2:$D$41,3,FALSE()),"Chưa phân loại")</f>
        <v>Spyware</v>
      </c>
      <c r="G213" s="6" t="str">
        <f aca="false">IFERROR(VLOOKUP(TRIM(SUBSTITUTE($D213,_xlfn.UNICHAR(160)," ")),CSDL_Virus!$A$2:$D$41,4,FALSE()),"Chưa phân loại")</f>
        <v>Thấp</v>
      </c>
    </row>
    <row r="214" customFormat="false" ht="15" hidden="false" customHeight="false" outlineLevel="0" collapsed="false">
      <c r="A214" s="7" t="n">
        <v>46317.0243055556</v>
      </c>
      <c r="B214" s="6" t="s">
        <v>124</v>
      </c>
      <c r="C214" s="6" t="s">
        <v>262</v>
      </c>
      <c r="D214" s="6" t="s">
        <v>28</v>
      </c>
      <c r="E214" s="6" t="str">
        <f aca="false">IFERROR(VLOOKUP(TRIM(SUBSTITUTE($D214,_xlfn.UNICHAR(160)," ")),CSDL_Virus!$A$2:$D$41,2,FALSE()),"Chưa phân loại")</f>
        <v>VaultBite</v>
      </c>
      <c r="F214" s="6" t="str">
        <f aca="false">IFERROR(VLOOKUP(TRIM(SUBSTITUTE($D214,_xlfn.UNICHAR(160)," ")),CSDL_Virus!$A$2:$D$41,3,FALSE()),"Chưa phân loại")</f>
        <v>Ransomware</v>
      </c>
      <c r="G214" s="6" t="str">
        <f aca="false">IFERROR(VLOOKUP(TRIM(SUBSTITUTE($D214,_xlfn.UNICHAR(160)," ")),CSDL_Virus!$A$2:$D$41,4,FALSE()),"Chưa phân loại")</f>
        <v>Nghiêm trọng</v>
      </c>
    </row>
    <row r="215" customFormat="false" ht="15" hidden="false" customHeight="false" outlineLevel="0" collapsed="false">
      <c r="A215" s="7" t="n">
        <v>46317.0243055556</v>
      </c>
      <c r="B215" s="6" t="s">
        <v>127</v>
      </c>
      <c r="C215" s="6" t="s">
        <v>341</v>
      </c>
      <c r="D215" s="6" t="s">
        <v>42</v>
      </c>
      <c r="E215" s="6" t="str">
        <f aca="false">IFERROR(VLOOKUP(TRIM(SUBSTITUTE($D215,_xlfn.UNICHAR(160)," ")),CSDL_Virus!$A$2:$D$41,2,FALSE()),"Chưa phân loại")</f>
        <v>PaleMask</v>
      </c>
      <c r="F215" s="6" t="str">
        <f aca="false">IFERROR(VLOOKUP(TRIM(SUBSTITUTE($D215,_xlfn.UNICHAR(160)," ")),CSDL_Virus!$A$2:$D$41,3,FALSE()),"Chưa phân loại")</f>
        <v>Trojan</v>
      </c>
      <c r="G215" s="6" t="str">
        <f aca="false">IFERROR(VLOOKUP(TRIM(SUBSTITUTE($D215,_xlfn.UNICHAR(160)," ")),CSDL_Virus!$A$2:$D$41,4,FALSE()),"Chưa phân loại")</f>
        <v>Trung bình</v>
      </c>
    </row>
    <row r="216" customFormat="false" ht="15" hidden="false" customHeight="false" outlineLevel="0" collapsed="false">
      <c r="A216" s="7" t="n">
        <v>46317.0472222222</v>
      </c>
      <c r="B216" s="6" t="s">
        <v>117</v>
      </c>
      <c r="C216" s="6" t="s">
        <v>328</v>
      </c>
      <c r="D216" s="6" t="s">
        <v>342</v>
      </c>
      <c r="E216" s="6" t="str">
        <f aca="false">IFERROR(VLOOKUP(TRIM(SUBSTITUTE($D216,_xlfn.UNICHAR(160)," ")),CSDL_Virus!$A$2:$D$41,2,FALSE()),"Chưa phân loại")</f>
        <v>AshMirror</v>
      </c>
      <c r="F216" s="6" t="str">
        <f aca="false">IFERROR(VLOOKUP(TRIM(SUBSTITUTE($D216,_xlfn.UNICHAR(160)," ")),CSDL_Virus!$A$2:$D$41,3,FALSE()),"Chưa phân loại")</f>
        <v>Spyware</v>
      </c>
      <c r="G216" s="6" t="str">
        <f aca="false">IFERROR(VLOOKUP(TRIM(SUBSTITUTE($D216,_xlfn.UNICHAR(160)," ")),CSDL_Virus!$A$2:$D$41,4,FALSE()),"Chưa phân loại")</f>
        <v>Cao</v>
      </c>
    </row>
    <row r="217" customFormat="false" ht="15" hidden="false" customHeight="false" outlineLevel="0" collapsed="false">
      <c r="A217" s="7" t="n">
        <v>46317.05625</v>
      </c>
      <c r="B217" s="6" t="s">
        <v>117</v>
      </c>
      <c r="C217" s="6" t="s">
        <v>325</v>
      </c>
      <c r="D217" s="6" t="s">
        <v>252</v>
      </c>
      <c r="E217" s="6" t="str">
        <f aca="false">IFERROR(VLOOKUP(TRIM(SUBSTITUTE($D217,_xlfn.UNICHAR(160)," ")),CSDL_Virus!$A$2:$D$41,2,FALSE()),"Chưa phân loại")</f>
        <v>CrimsonLoop</v>
      </c>
      <c r="F217" s="6" t="str">
        <f aca="false">IFERROR(VLOOKUP(TRIM(SUBSTITUTE($D217,_xlfn.UNICHAR(160)," ")),CSDL_Virus!$A$2:$D$41,3,FALSE()),"Chưa phân loại")</f>
        <v>Ransomware</v>
      </c>
      <c r="G217" s="6" t="str">
        <f aca="false">IFERROR(VLOOKUP(TRIM(SUBSTITUTE($D217,_xlfn.UNICHAR(160)," ")),CSDL_Virus!$A$2:$D$41,4,FALSE()),"Chưa phân loại")</f>
        <v>Nghiêm trọng</v>
      </c>
    </row>
    <row r="218" customFormat="false" ht="15" hidden="false" customHeight="false" outlineLevel="0" collapsed="false">
      <c r="A218" s="7" t="n">
        <v>46317.1416666667</v>
      </c>
      <c r="B218" s="6" t="s">
        <v>172</v>
      </c>
      <c r="C218" s="6" t="s">
        <v>343</v>
      </c>
      <c r="D218" s="6" t="s">
        <v>94</v>
      </c>
      <c r="E218" s="6" t="str">
        <f aca="false">IFERROR(VLOOKUP(TRIM(SUBSTITUTE($D218,_xlfn.UNICHAR(160)," ")),CSDL_Virus!$A$2:$D$41,2,FALSE()),"Chưa phân loại")</f>
        <v>AmberRig</v>
      </c>
      <c r="F218" s="6" t="str">
        <f aca="false">IFERROR(VLOOKUP(TRIM(SUBSTITUTE($D218,_xlfn.UNICHAR(160)," ")),CSDL_Virus!$A$2:$D$41,3,FALSE()),"Chưa phân loại")</f>
        <v>Cryptominer</v>
      </c>
      <c r="G218" s="6" t="str">
        <f aca="false">IFERROR(VLOOKUP(TRIM(SUBSTITUTE($D218,_xlfn.UNICHAR(160)," ")),CSDL_Virus!$A$2:$D$41,4,FALSE()),"Chưa phân loại")</f>
        <v>Thấp</v>
      </c>
    </row>
    <row r="219" customFormat="false" ht="15" hidden="false" customHeight="false" outlineLevel="0" collapsed="false">
      <c r="A219" s="7" t="n">
        <v>46317.1618055556</v>
      </c>
      <c r="B219" s="6" t="s">
        <v>117</v>
      </c>
      <c r="C219" s="6" t="s">
        <v>344</v>
      </c>
      <c r="D219" s="6" t="s">
        <v>345</v>
      </c>
      <c r="E219" s="6" t="str">
        <f aca="false">IFERROR(VLOOKUP(TRIM(SUBSTITUTE($D219,_xlfn.UNICHAR(160)," ")),CSDL_Virus!$A$2:$D$41,2,FALSE()),"Chưa phân loại")</f>
        <v>DeepTick</v>
      </c>
      <c r="F219" s="6" t="str">
        <f aca="false">IFERROR(VLOOKUP(TRIM(SUBSTITUTE($D219,_xlfn.UNICHAR(160)," ")),CSDL_Virus!$A$2:$D$41,3,FALSE()),"Chưa phân loại")</f>
        <v>Cryptominer</v>
      </c>
      <c r="G219" s="6" t="str">
        <f aca="false">IFERROR(VLOOKUP(TRIM(SUBSTITUTE($D219,_xlfn.UNICHAR(160)," ")),CSDL_Virus!$A$2:$D$41,4,FALSE()),"Chưa phân loại")</f>
        <v>Trung bình</v>
      </c>
    </row>
    <row r="220" customFormat="false" ht="15" hidden="false" customHeight="false" outlineLevel="0" collapsed="false">
      <c r="A220" s="7" t="n">
        <v>46317.18125</v>
      </c>
      <c r="B220" s="6" t="s">
        <v>117</v>
      </c>
      <c r="C220" s="6" t="s">
        <v>302</v>
      </c>
      <c r="D220" s="6" t="s">
        <v>68</v>
      </c>
      <c r="E220" s="6" t="str">
        <f aca="false">IFERROR(VLOOKUP(TRIM(SUBSTITUTE($D220,_xlfn.UNICHAR(160)," ")),CSDL_Virus!$A$2:$D$41,2,FALSE()),"Chưa phân loại")</f>
        <v>LintWatch</v>
      </c>
      <c r="F220" s="6" t="str">
        <f aca="false">IFERROR(VLOOKUP(TRIM(SUBSTITUTE($D220,_xlfn.UNICHAR(160)," ")),CSDL_Virus!$A$2:$D$41,3,FALSE()),"Chưa phân loại")</f>
        <v>Spyware</v>
      </c>
      <c r="G220" s="6" t="str">
        <f aca="false">IFERROR(VLOOKUP(TRIM(SUBSTITUTE($D220,_xlfn.UNICHAR(160)," ")),CSDL_Virus!$A$2:$D$41,4,FALSE()),"Chưa phân loại")</f>
        <v>Thấp</v>
      </c>
    </row>
    <row r="221" customFormat="false" ht="15" hidden="false" customHeight="false" outlineLevel="0" collapsed="false">
      <c r="A221" s="7" t="n">
        <v>46317.2472222222</v>
      </c>
      <c r="B221" s="6" t="s">
        <v>127</v>
      </c>
      <c r="C221" s="6" t="s">
        <v>346</v>
      </c>
      <c r="D221" s="6" t="s">
        <v>68</v>
      </c>
      <c r="E221" s="6" t="str">
        <f aca="false">IFERROR(VLOOKUP(TRIM(SUBSTITUTE($D221,_xlfn.UNICHAR(160)," ")),CSDL_Virus!$A$2:$D$41,2,FALSE()),"Chưa phân loại")</f>
        <v>LintWatch</v>
      </c>
      <c r="F221" s="6" t="str">
        <f aca="false">IFERROR(VLOOKUP(TRIM(SUBSTITUTE($D221,_xlfn.UNICHAR(160)," ")),CSDL_Virus!$A$2:$D$41,3,FALSE()),"Chưa phân loại")</f>
        <v>Spyware</v>
      </c>
      <c r="G221" s="6" t="str">
        <f aca="false">IFERROR(VLOOKUP(TRIM(SUBSTITUTE($D221,_xlfn.UNICHAR(160)," ")),CSDL_Virus!$A$2:$D$41,4,FALSE()),"Chưa phân loại")</f>
        <v>Thấp</v>
      </c>
    </row>
    <row r="222" customFormat="false" ht="15" hidden="false" customHeight="false" outlineLevel="0" collapsed="false">
      <c r="A222" s="7" t="n">
        <v>46317.28125</v>
      </c>
      <c r="B222" s="6" t="s">
        <v>117</v>
      </c>
      <c r="C222" s="6" t="s">
        <v>304</v>
      </c>
      <c r="D222" s="6" t="s">
        <v>35</v>
      </c>
      <c r="E222" s="6" t="str">
        <f aca="false">IFERROR(VLOOKUP(TRIM(SUBSTITUTE($D222,_xlfn.UNICHAR(160)," ")),CSDL_Virus!$A$2:$D$41,2,FALSE()),"Chưa phân loại")</f>
        <v>GrimSeal</v>
      </c>
      <c r="F222" s="6" t="str">
        <f aca="false">IFERROR(VLOOKUP(TRIM(SUBSTITUTE($D222,_xlfn.UNICHAR(160)," ")),CSDL_Virus!$A$2:$D$41,3,FALSE()),"Chưa phân loại")</f>
        <v>Ransomware</v>
      </c>
      <c r="G222" s="6" t="str">
        <f aca="false">IFERROR(VLOOKUP(TRIM(SUBSTITUTE($D222,_xlfn.UNICHAR(160)," ")),CSDL_Virus!$A$2:$D$41,4,FALSE()),"Chưa phân loại")</f>
        <v>Cao</v>
      </c>
    </row>
    <row r="223" customFormat="false" ht="15" hidden="false" customHeight="false" outlineLevel="0" collapsed="false">
      <c r="A223" s="7" t="n">
        <v>46317.29375</v>
      </c>
      <c r="B223" s="6" t="s">
        <v>127</v>
      </c>
      <c r="C223" s="6" t="s">
        <v>347</v>
      </c>
      <c r="D223" s="6" t="s">
        <v>101</v>
      </c>
      <c r="E223" s="6" t="str">
        <f aca="false">IFERROR(VLOOKUP(TRIM(SUBSTITUTE($D223,_xlfn.UNICHAR(160)," ")),CSDL_Virus!$A$2:$D$41,2,FALSE()),"Chưa phân loại")</f>
        <v>HookLedger</v>
      </c>
      <c r="F223" s="6" t="str">
        <f aca="false">IFERROR(VLOOKUP(TRIM(SUBSTITUTE($D223,_xlfn.UNICHAR(160)," ")),CSDL_Virus!$A$2:$D$41,3,FALSE()),"Chưa phân loại")</f>
        <v>Phishing kit</v>
      </c>
      <c r="G223" s="6" t="str">
        <f aca="false">IFERROR(VLOOKUP(TRIM(SUBSTITUTE($D223,_xlfn.UNICHAR(160)," ")),CSDL_Virus!$A$2:$D$41,4,FALSE()),"Chưa phân loại")</f>
        <v>Cao</v>
      </c>
    </row>
    <row r="224" customFormat="false" ht="15" hidden="false" customHeight="false" outlineLevel="0" collapsed="false">
      <c r="A224" s="7" t="n">
        <v>46317.3076388889</v>
      </c>
      <c r="B224" s="6" t="s">
        <v>141</v>
      </c>
      <c r="C224" s="6" t="s">
        <v>167</v>
      </c>
      <c r="D224" s="6" t="s">
        <v>74</v>
      </c>
      <c r="E224" s="6" t="str">
        <f aca="false">IFERROR(VLOOKUP(TRIM(SUBSTITUTE($D224,_xlfn.UNICHAR(160)," ")),CSDL_Virus!$A$2:$D$41,2,FALSE()),"Chưa phân loại")</f>
        <v>IronFlock</v>
      </c>
      <c r="F224" s="6" t="str">
        <f aca="false">IFERROR(VLOOKUP(TRIM(SUBSTITUTE($D224,_xlfn.UNICHAR(160)," ")),CSDL_Virus!$A$2:$D$41,3,FALSE()),"Chưa phân loại")</f>
        <v>Botnet</v>
      </c>
      <c r="G224" s="6" t="str">
        <f aca="false">IFERROR(VLOOKUP(TRIM(SUBSTITUTE($D224,_xlfn.UNICHAR(160)," ")),CSDL_Virus!$A$2:$D$41,4,FALSE()),"Chưa phân loại")</f>
        <v>Cao</v>
      </c>
    </row>
    <row r="225" customFormat="false" ht="15" hidden="false" customHeight="false" outlineLevel="0" collapsed="false">
      <c r="A225" s="7" t="n">
        <v>46317.3097222222</v>
      </c>
      <c r="B225" s="6" t="s">
        <v>119</v>
      </c>
      <c r="C225" s="6" t="s">
        <v>305</v>
      </c>
      <c r="D225" s="6" t="s">
        <v>348</v>
      </c>
      <c r="E225" s="6" t="str">
        <f aca="false">IFERROR(VLOOKUP(TRIM(SUBSTITUTE($D225,_xlfn.UNICHAR(160)," ")),CSDL_Virus!$A$2:$D$41,2,FALSE()),"Chưa phân loại")</f>
        <v>HookLedger</v>
      </c>
      <c r="F225" s="6" t="str">
        <f aca="false">IFERROR(VLOOKUP(TRIM(SUBSTITUTE($D225,_xlfn.UNICHAR(160)," ")),CSDL_Virus!$A$2:$D$41,3,FALSE()),"Chưa phân loại")</f>
        <v>Phishing kit</v>
      </c>
      <c r="G225" s="6" t="str">
        <f aca="false">IFERROR(VLOOKUP(TRIM(SUBSTITUTE($D225,_xlfn.UNICHAR(160)," ")),CSDL_Virus!$A$2:$D$41,4,FALSE()),"Chưa phân loại")</f>
        <v>Cao</v>
      </c>
    </row>
    <row r="226" customFormat="false" ht="15" hidden="false" customHeight="false" outlineLevel="0" collapsed="false">
      <c r="A226" s="7" t="n">
        <v>46317.3125</v>
      </c>
      <c r="B226" s="6" t="s">
        <v>127</v>
      </c>
      <c r="C226" s="6" t="s">
        <v>227</v>
      </c>
      <c r="D226" s="6" t="s">
        <v>68</v>
      </c>
      <c r="E226" s="6" t="str">
        <f aca="false">IFERROR(VLOOKUP(TRIM(SUBSTITUTE($D226,_xlfn.UNICHAR(160)," ")),CSDL_Virus!$A$2:$D$41,2,FALSE()),"Chưa phân loại")</f>
        <v>LintWatch</v>
      </c>
      <c r="F226" s="6" t="str">
        <f aca="false">IFERROR(VLOOKUP(TRIM(SUBSTITUTE($D226,_xlfn.UNICHAR(160)," ")),CSDL_Virus!$A$2:$D$41,3,FALSE()),"Chưa phân loại")</f>
        <v>Spyware</v>
      </c>
      <c r="G226" s="6" t="str">
        <f aca="false">IFERROR(VLOOKUP(TRIM(SUBSTITUTE($D226,_xlfn.UNICHAR(160)," ")),CSDL_Virus!$A$2:$D$41,4,FALSE()),"Chưa phân loại")</f>
        <v>Thấp</v>
      </c>
    </row>
    <row r="227" customFormat="false" ht="15" hidden="false" customHeight="false" outlineLevel="0" collapsed="false">
      <c r="A227" s="7" t="n">
        <v>46317.40625</v>
      </c>
      <c r="B227" s="6" t="s">
        <v>119</v>
      </c>
      <c r="C227" s="6" t="s">
        <v>349</v>
      </c>
      <c r="D227" s="6" t="s">
        <v>26</v>
      </c>
      <c r="E227" s="6" t="str">
        <f aca="false">IFERROR(VLOOKUP(TRIM(SUBSTITUTE($D227,_xlfn.UNICHAR(160)," ")),CSDL_Virus!$A$2:$D$41,2,FALSE()),"Chưa phân loại")</f>
        <v>CrimsonLoop</v>
      </c>
      <c r="F227" s="6" t="str">
        <f aca="false">IFERROR(VLOOKUP(TRIM(SUBSTITUTE($D227,_xlfn.UNICHAR(160)," ")),CSDL_Virus!$A$2:$D$41,3,FALSE()),"Chưa phân loại")</f>
        <v>Ransomware</v>
      </c>
      <c r="G227" s="6" t="str">
        <f aca="false">IFERROR(VLOOKUP(TRIM(SUBSTITUTE($D227,_xlfn.UNICHAR(160)," ")),CSDL_Virus!$A$2:$D$41,4,FALSE()),"Chưa phân loại")</f>
        <v>Nghiêm trọng</v>
      </c>
    </row>
    <row r="228" customFormat="false" ht="15" hidden="false" customHeight="false" outlineLevel="0" collapsed="false">
      <c r="A228" s="7" t="n">
        <v>46317.4159722222</v>
      </c>
      <c r="B228" s="6" t="s">
        <v>119</v>
      </c>
      <c r="C228" s="6" t="s">
        <v>350</v>
      </c>
      <c r="D228" s="6" t="s">
        <v>88</v>
      </c>
      <c r="E228" s="6" t="str">
        <f aca="false">IFERROR(VLOOKUP(TRIM(SUBSTITUTE($D228,_xlfn.UNICHAR(160)," ")),CSDL_Virus!$A$2:$D$41,2,FALSE()),"Chưa phân loại")</f>
        <v>HeatLeech</v>
      </c>
      <c r="F228" s="6" t="str">
        <f aca="false">IFERROR(VLOOKUP(TRIM(SUBSTITUTE($D228,_xlfn.UNICHAR(160)," ")),CSDL_Virus!$A$2:$D$41,3,FALSE()),"Chưa phân loại")</f>
        <v>Cryptominer</v>
      </c>
      <c r="G228" s="6" t="str">
        <f aca="false">IFERROR(VLOOKUP(TRIM(SUBSTITUTE($D228,_xlfn.UNICHAR(160)," ")),CSDL_Virus!$A$2:$D$41,4,FALSE()),"Chưa phân loại")</f>
        <v>Trung bình</v>
      </c>
    </row>
    <row r="229" customFormat="false" ht="15" hidden="false" customHeight="false" outlineLevel="0" collapsed="false">
      <c r="A229" s="7" t="n">
        <v>46317.5270833333</v>
      </c>
      <c r="B229" s="6" t="s">
        <v>117</v>
      </c>
      <c r="C229" s="6" t="s">
        <v>351</v>
      </c>
      <c r="D229" s="6" t="s">
        <v>352</v>
      </c>
      <c r="E229" s="6" t="str">
        <f aca="false">IFERROR(VLOOKUP(TRIM(SUBSTITUTE($D229,_xlfn.UNICHAR(160)," ")),CSDL_Virus!$A$2:$D$41,2,FALSE()),"Chưa phân loại")</f>
        <v>BaitCrate</v>
      </c>
      <c r="F229" s="6" t="str">
        <f aca="false">IFERROR(VLOOKUP(TRIM(SUBSTITUTE($D229,_xlfn.UNICHAR(160)," ")),CSDL_Virus!$A$2:$D$41,3,FALSE()),"Chưa phân loại")</f>
        <v>Phishing kit</v>
      </c>
      <c r="G229" s="6" t="str">
        <f aca="false">IFERROR(VLOOKUP(TRIM(SUBSTITUTE($D229,_xlfn.UNICHAR(160)," ")),CSDL_Virus!$A$2:$D$41,4,FALSE()),"Chưa phân loại")</f>
        <v>Cao</v>
      </c>
    </row>
    <row r="230" customFormat="false" ht="15" hidden="false" customHeight="false" outlineLevel="0" collapsed="false">
      <c r="A230" s="7" t="n">
        <v>46317.5569444444</v>
      </c>
      <c r="B230" s="6" t="s">
        <v>141</v>
      </c>
      <c r="C230" s="6" t="s">
        <v>353</v>
      </c>
      <c r="D230" s="6" t="s">
        <v>81</v>
      </c>
      <c r="E230" s="6" t="str">
        <f aca="false">IFERROR(VLOOKUP(TRIM(SUBSTITUTE($D230,_xlfn.UNICHAR(160)," ")),CSDL_Virus!$A$2:$D$41,2,FALSE()),"Chưa phân loại")</f>
        <v>StormHerd</v>
      </c>
      <c r="F230" s="6" t="str">
        <f aca="false">IFERROR(VLOOKUP(TRIM(SUBSTITUTE($D230,_xlfn.UNICHAR(160)," ")),CSDL_Virus!$A$2:$D$41,3,FALSE()),"Chưa phân loại")</f>
        <v>Botnet</v>
      </c>
      <c r="G230" s="6" t="str">
        <f aca="false">IFERROR(VLOOKUP(TRIM(SUBSTITUTE($D230,_xlfn.UNICHAR(160)," ")),CSDL_Virus!$A$2:$D$41,4,FALSE()),"Chưa phân loại")</f>
        <v>Trung bình</v>
      </c>
    </row>
    <row r="231" customFormat="false" ht="15" hidden="false" customHeight="false" outlineLevel="0" collapsed="false">
      <c r="A231" s="7" t="n">
        <v>46317.5798611111</v>
      </c>
      <c r="B231" s="6" t="s">
        <v>127</v>
      </c>
      <c r="C231" s="6" t="s">
        <v>354</v>
      </c>
      <c r="D231" s="6" t="s">
        <v>54</v>
      </c>
      <c r="E231" s="6" t="str">
        <f aca="false">IFERROR(VLOOKUP(TRIM(SUBSTITUTE($D231,_xlfn.UNICHAR(160)," ")),CSDL_Virus!$A$2:$D$41,2,FALSE()),"Chưa phân loại")</f>
        <v>LongCrawl</v>
      </c>
      <c r="F231" s="6" t="str">
        <f aca="false">IFERROR(VLOOKUP(TRIM(SUBSTITUTE($D231,_xlfn.UNICHAR(160)," ")),CSDL_Virus!$A$2:$D$41,3,FALSE()),"Chưa phân loại")</f>
        <v>Worm</v>
      </c>
      <c r="G231" s="6" t="str">
        <f aca="false">IFERROR(VLOOKUP(TRIM(SUBSTITUTE($D231,_xlfn.UNICHAR(160)," ")),CSDL_Virus!$A$2:$D$41,4,FALSE()),"Chưa phân loại")</f>
        <v>Trung bình</v>
      </c>
    </row>
    <row r="232" customFormat="false" ht="15" hidden="false" customHeight="false" outlineLevel="0" collapsed="false">
      <c r="A232" s="7" t="n">
        <v>46317.5958333333</v>
      </c>
      <c r="B232" s="6" t="s">
        <v>172</v>
      </c>
      <c r="C232" s="6" t="s">
        <v>355</v>
      </c>
      <c r="D232" s="6" t="s">
        <v>30</v>
      </c>
      <c r="E232" s="6" t="str">
        <f aca="false">IFERROR(VLOOKUP(TRIM(SUBSTITUTE($D232,_xlfn.UNICHAR(160)," ")),CSDL_Virus!$A$2:$D$41,2,FALSE()),"Chưa phân loại")</f>
        <v>AshCrypt</v>
      </c>
      <c r="F232" s="6" t="str">
        <f aca="false">IFERROR(VLOOKUP(TRIM(SUBSTITUTE($D232,_xlfn.UNICHAR(160)," ")),CSDL_Virus!$A$2:$D$41,3,FALSE()),"Chưa phân loại")</f>
        <v>Ransomware</v>
      </c>
      <c r="G232" s="6" t="str">
        <f aca="false">IFERROR(VLOOKUP(TRIM(SUBSTITUTE($D232,_xlfn.UNICHAR(160)," ")),CSDL_Virus!$A$2:$D$41,4,FALSE()),"Chưa phân loại")</f>
        <v>Cao</v>
      </c>
    </row>
    <row r="233" customFormat="false" ht="15" hidden="false" customHeight="false" outlineLevel="0" collapsed="false">
      <c r="A233" s="7" t="n">
        <v>46317.6944444445</v>
      </c>
      <c r="B233" s="6" t="s">
        <v>124</v>
      </c>
      <c r="C233" s="6" t="s">
        <v>356</v>
      </c>
      <c r="D233" s="6" t="s">
        <v>58</v>
      </c>
      <c r="E233" s="6" t="str">
        <f aca="false">IFERROR(VLOOKUP(TRIM(SUBSTITUTE($D233,_xlfn.UNICHAR(160)," ")),CSDL_Virus!$A$2:$D$41,2,FALSE()),"Chưa phân loại")</f>
        <v>BrightFuse</v>
      </c>
      <c r="F233" s="6" t="str">
        <f aca="false">IFERROR(VLOOKUP(TRIM(SUBSTITUTE($D233,_xlfn.UNICHAR(160)," ")),CSDL_Virus!$A$2:$D$41,3,FALSE()),"Chưa phân loại")</f>
        <v>Worm</v>
      </c>
      <c r="G233" s="6" t="str">
        <f aca="false">IFERROR(VLOOKUP(TRIM(SUBSTITUTE($D233,_xlfn.UNICHAR(160)," ")),CSDL_Virus!$A$2:$D$41,4,FALSE()),"Chưa phân loại")</f>
        <v>Cao</v>
      </c>
    </row>
    <row r="234" customFormat="false" ht="15" hidden="false" customHeight="false" outlineLevel="0" collapsed="false">
      <c r="A234" s="7" t="n">
        <v>46317.7694444444</v>
      </c>
      <c r="B234" s="6" t="s">
        <v>139</v>
      </c>
      <c r="C234" s="6" t="s">
        <v>136</v>
      </c>
      <c r="D234" s="6" t="s">
        <v>54</v>
      </c>
      <c r="E234" s="6" t="str">
        <f aca="false">IFERROR(VLOOKUP(TRIM(SUBSTITUTE($D234,_xlfn.UNICHAR(160)," ")),CSDL_Virus!$A$2:$D$41,2,FALSE()),"Chưa phân loại")</f>
        <v>LongCrawl</v>
      </c>
      <c r="F234" s="6" t="str">
        <f aca="false">IFERROR(VLOOKUP(TRIM(SUBSTITUTE($D234,_xlfn.UNICHAR(160)," ")),CSDL_Virus!$A$2:$D$41,3,FALSE()),"Chưa phân loại")</f>
        <v>Worm</v>
      </c>
      <c r="G234" s="6" t="str">
        <f aca="false">IFERROR(VLOOKUP(TRIM(SUBSTITUTE($D234,_xlfn.UNICHAR(160)," ")),CSDL_Virus!$A$2:$D$41,4,FALSE()),"Chưa phân loại")</f>
        <v>Trung bình</v>
      </c>
    </row>
    <row r="235" customFormat="false" ht="15" hidden="false" customHeight="false" outlineLevel="0" collapsed="false">
      <c r="A235" s="7" t="n">
        <v>46317.8041666667</v>
      </c>
      <c r="B235" s="6" t="s">
        <v>127</v>
      </c>
      <c r="C235" s="6" t="s">
        <v>357</v>
      </c>
      <c r="D235" s="6" t="s">
        <v>45</v>
      </c>
      <c r="E235" s="6" t="str">
        <f aca="false">IFERROR(VLOOKUP(TRIM(SUBSTITUTE($D235,_xlfn.UNICHAR(160)," ")),CSDL_Virus!$A$2:$D$41,2,FALSE()),"Chưa phân loại")</f>
        <v>DriftKey</v>
      </c>
      <c r="F235" s="6" t="str">
        <f aca="false">IFERROR(VLOOKUP(TRIM(SUBSTITUTE($D235,_xlfn.UNICHAR(160)," ")),CSDL_Virus!$A$2:$D$41,3,FALSE()),"Chưa phân loại")</f>
        <v>Trojan</v>
      </c>
      <c r="G235" s="6" t="str">
        <f aca="false">IFERROR(VLOOKUP(TRIM(SUBSTITUTE($D235,_xlfn.UNICHAR(160)," ")),CSDL_Virus!$A$2:$D$41,4,FALSE()),"Chưa phân loại")</f>
        <v>Nghiêm trọng</v>
      </c>
    </row>
    <row r="236" customFormat="false" ht="15" hidden="false" customHeight="false" outlineLevel="0" collapsed="false">
      <c r="A236" s="7" t="n">
        <v>46317.8256944444</v>
      </c>
      <c r="B236" s="6" t="s">
        <v>141</v>
      </c>
      <c r="C236" s="6" t="s">
        <v>358</v>
      </c>
      <c r="D236" s="6" t="s">
        <v>81</v>
      </c>
      <c r="E236" s="6" t="str">
        <f aca="false">IFERROR(VLOOKUP(TRIM(SUBSTITUTE($D236,_xlfn.UNICHAR(160)," ")),CSDL_Virus!$A$2:$D$41,2,FALSE()),"Chưa phân loại")</f>
        <v>StormHerd</v>
      </c>
      <c r="F236" s="6" t="str">
        <f aca="false">IFERROR(VLOOKUP(TRIM(SUBSTITUTE($D236,_xlfn.UNICHAR(160)," ")),CSDL_Virus!$A$2:$D$41,3,FALSE()),"Chưa phân loại")</f>
        <v>Botnet</v>
      </c>
      <c r="G236" s="6" t="str">
        <f aca="false">IFERROR(VLOOKUP(TRIM(SUBSTITUTE($D236,_xlfn.UNICHAR(160)," ")),CSDL_Virus!$A$2:$D$41,4,FALSE()),"Chưa phân loại")</f>
        <v>Trung bình</v>
      </c>
    </row>
    <row r="237" customFormat="false" ht="15" hidden="false" customHeight="false" outlineLevel="0" collapsed="false">
      <c r="A237" s="7" t="n">
        <v>46317.90625</v>
      </c>
      <c r="B237" s="6" t="s">
        <v>127</v>
      </c>
      <c r="C237" s="6" t="s">
        <v>142</v>
      </c>
      <c r="D237" s="6" t="s">
        <v>30</v>
      </c>
      <c r="E237" s="6" t="str">
        <f aca="false">IFERROR(VLOOKUP(TRIM(SUBSTITUTE($D237,_xlfn.UNICHAR(160)," ")),CSDL_Virus!$A$2:$D$41,2,FALSE()),"Chưa phân loại")</f>
        <v>AshCrypt</v>
      </c>
      <c r="F237" s="6" t="str">
        <f aca="false">IFERROR(VLOOKUP(TRIM(SUBSTITUTE($D237,_xlfn.UNICHAR(160)," ")),CSDL_Virus!$A$2:$D$41,3,FALSE()),"Chưa phân loại")</f>
        <v>Ransomware</v>
      </c>
      <c r="G237" s="6" t="str">
        <f aca="false">IFERROR(VLOOKUP(TRIM(SUBSTITUTE($D237,_xlfn.UNICHAR(160)," ")),CSDL_Virus!$A$2:$D$41,4,FALSE()),"Chưa phân loại")</f>
        <v>Cao</v>
      </c>
    </row>
    <row r="238" customFormat="false" ht="15" hidden="false" customHeight="false" outlineLevel="0" collapsed="false">
      <c r="A238" s="7" t="n">
        <v>46317.94375</v>
      </c>
      <c r="B238" s="6" t="s">
        <v>119</v>
      </c>
      <c r="C238" s="6" t="s">
        <v>151</v>
      </c>
      <c r="D238" s="6" t="s">
        <v>107</v>
      </c>
      <c r="E238" s="6" t="str">
        <f aca="false">IFERROR(VLOOKUP(TRIM(SUBSTITUTE($D238,_xlfn.UNICHAR(160)," ")),CSDL_Virus!$A$2:$D$41,2,FALSE()),"Chưa phân loại")</f>
        <v>DeepAnchor</v>
      </c>
      <c r="F238" s="6" t="str">
        <f aca="false">IFERROR(VLOOKUP(TRIM(SUBSTITUTE($D238,_xlfn.UNICHAR(160)," ")),CSDL_Virus!$A$2:$D$41,3,FALSE()),"Chưa phân loại")</f>
        <v>Ransomware</v>
      </c>
      <c r="G238" s="6" t="str">
        <f aca="false">IFERROR(VLOOKUP(TRIM(SUBSTITUTE($D238,_xlfn.UNICHAR(160)," ")),CSDL_Virus!$A$2:$D$41,4,FALSE()),"Chưa phân loại")</f>
        <v>Nghiêm trọng</v>
      </c>
    </row>
    <row r="239" customFormat="false" ht="15" hidden="false" customHeight="false" outlineLevel="0" collapsed="false">
      <c r="A239" s="7" t="n">
        <v>46317.9729166667</v>
      </c>
      <c r="B239" s="6" t="s">
        <v>141</v>
      </c>
      <c r="C239" s="6" t="s">
        <v>359</v>
      </c>
      <c r="D239" s="6" t="s">
        <v>220</v>
      </c>
      <c r="E239" s="6" t="str">
        <f aca="false">IFERROR(VLOOKUP(TRIM(SUBSTITUTE($D239,_xlfn.UNICHAR(160)," ")),CSDL_Virus!$A$2:$D$41,2,FALSE()),"Chưa phân loại")</f>
        <v>SilentBank</v>
      </c>
      <c r="F239" s="6" t="str">
        <f aca="false">IFERROR(VLOOKUP(TRIM(SUBSTITUTE($D239,_xlfn.UNICHAR(160)," ")),CSDL_Virus!$A$2:$D$41,3,FALSE()),"Chưa phân loại")</f>
        <v>Trojan</v>
      </c>
      <c r="G239" s="6" t="str">
        <f aca="false">IFERROR(VLOOKUP(TRIM(SUBSTITUTE($D239,_xlfn.UNICHAR(160)," ")),CSDL_Virus!$A$2:$D$41,4,FALSE()),"Chưa phân loại")</f>
        <v>Cao</v>
      </c>
    </row>
    <row r="240" customFormat="false" ht="15" hidden="false" customHeight="false" outlineLevel="0" collapsed="false">
      <c r="A240" s="7" t="n">
        <v>46317.9798611111</v>
      </c>
      <c r="B240" s="6" t="s">
        <v>141</v>
      </c>
      <c r="C240" s="6" t="s">
        <v>338</v>
      </c>
      <c r="D240" s="6" t="s">
        <v>70</v>
      </c>
      <c r="E240" s="6" t="str">
        <f aca="false">IFERROR(VLOOKUP(TRIM(SUBSTITUTE($D240,_xlfn.UNICHAR(160)," ")),CSDL_Virus!$A$2:$D$41,2,FALSE()),"Chưa phân loại")</f>
        <v>MoonScribe</v>
      </c>
      <c r="F240" s="6" t="str">
        <f aca="false">IFERROR(VLOOKUP(TRIM(SUBSTITUTE($D240,_xlfn.UNICHAR(160)," ")),CSDL_Virus!$A$2:$D$41,3,FALSE()),"Chưa phân loại")</f>
        <v>Spyware</v>
      </c>
      <c r="G240" s="6" t="str">
        <f aca="false">IFERROR(VLOOKUP(TRIM(SUBSTITUTE($D240,_xlfn.UNICHAR(160)," ")),CSDL_Virus!$A$2:$D$41,4,FALSE()),"Chưa phân loại")</f>
        <v>Trung bình</v>
      </c>
    </row>
    <row r="241" customFormat="false" ht="15" hidden="false" customHeight="false" outlineLevel="0" collapsed="false">
      <c r="A241" s="7" t="n">
        <v>46318.0069444445</v>
      </c>
      <c r="B241" s="6" t="s">
        <v>127</v>
      </c>
      <c r="C241" s="6" t="s">
        <v>360</v>
      </c>
      <c r="D241" s="6" t="s">
        <v>107</v>
      </c>
      <c r="E241" s="6" t="str">
        <f aca="false">IFERROR(VLOOKUP(TRIM(SUBSTITUTE($D241,_xlfn.UNICHAR(160)," ")),CSDL_Virus!$A$2:$D$41,2,FALSE()),"Chưa phân loại")</f>
        <v>DeepAnchor</v>
      </c>
      <c r="F241" s="6" t="str">
        <f aca="false">IFERROR(VLOOKUP(TRIM(SUBSTITUTE($D241,_xlfn.UNICHAR(160)," ")),CSDL_Virus!$A$2:$D$41,3,FALSE()),"Chưa phân loại")</f>
        <v>Ransomware</v>
      </c>
      <c r="G241" s="6" t="str">
        <f aca="false">IFERROR(VLOOKUP(TRIM(SUBSTITUTE($D241,_xlfn.UNICHAR(160)," ")),CSDL_Virus!$A$2:$D$41,4,FALSE()),"Chưa phân loại")</f>
        <v>Nghiêm trọng</v>
      </c>
    </row>
    <row r="242" customFormat="false" ht="15" hidden="false" customHeight="false" outlineLevel="0" collapsed="false">
      <c r="A242" s="7" t="n">
        <v>46318.0652777778</v>
      </c>
      <c r="B242" s="6" t="s">
        <v>124</v>
      </c>
      <c r="C242" s="6" t="s">
        <v>361</v>
      </c>
      <c r="D242" s="6" t="s">
        <v>362</v>
      </c>
      <c r="E242" s="6" t="str">
        <f aca="false">IFERROR(VLOOKUP(TRIM(SUBSTITUTE($D242,_xlfn.UNICHAR(160)," ")),CSDL_Virus!$A$2:$D$41,2,FALSE()),"Chưa phân loại")</f>
        <v>SilentBank</v>
      </c>
      <c r="F242" s="6" t="str">
        <f aca="false">IFERROR(VLOOKUP(TRIM(SUBSTITUTE($D242,_xlfn.UNICHAR(160)," ")),CSDL_Virus!$A$2:$D$41,3,FALSE()),"Chưa phân loại")</f>
        <v>Trojan</v>
      </c>
      <c r="G242" s="6" t="str">
        <f aca="false">IFERROR(VLOOKUP(TRIM(SUBSTITUTE($D242,_xlfn.UNICHAR(160)," ")),CSDL_Virus!$A$2:$D$41,4,FALSE()),"Chưa phân loại")</f>
        <v>Cao</v>
      </c>
    </row>
    <row r="243" customFormat="false" ht="15" hidden="false" customHeight="false" outlineLevel="0" collapsed="false">
      <c r="A243" s="7" t="n">
        <v>46318.0777777778</v>
      </c>
      <c r="B243" s="6" t="s">
        <v>141</v>
      </c>
      <c r="C243" s="6" t="s">
        <v>363</v>
      </c>
      <c r="D243" s="6" t="s">
        <v>94</v>
      </c>
      <c r="E243" s="6" t="str">
        <f aca="false">IFERROR(VLOOKUP(TRIM(SUBSTITUTE($D243,_xlfn.UNICHAR(160)," ")),CSDL_Virus!$A$2:$D$41,2,FALSE()),"Chưa phân loại")</f>
        <v>AmberRig</v>
      </c>
      <c r="F243" s="6" t="str">
        <f aca="false">IFERROR(VLOOKUP(TRIM(SUBSTITUTE($D243,_xlfn.UNICHAR(160)," ")),CSDL_Virus!$A$2:$D$41,3,FALSE()),"Chưa phân loại")</f>
        <v>Cryptominer</v>
      </c>
      <c r="G243" s="6" t="str">
        <f aca="false">IFERROR(VLOOKUP(TRIM(SUBSTITUTE($D243,_xlfn.UNICHAR(160)," ")),CSDL_Virus!$A$2:$D$41,4,FALSE()),"Chưa phân loại")</f>
        <v>Thấp</v>
      </c>
    </row>
    <row r="244" customFormat="false" ht="15" hidden="false" customHeight="false" outlineLevel="0" collapsed="false">
      <c r="A244" s="7" t="n">
        <v>46318.1729166667</v>
      </c>
      <c r="B244" s="6" t="s">
        <v>117</v>
      </c>
      <c r="C244" s="6" t="s">
        <v>364</v>
      </c>
      <c r="D244" s="6" t="s">
        <v>37</v>
      </c>
      <c r="E244" s="6" t="str">
        <f aca="false">IFERROR(VLOOKUP(TRIM(SUBSTITUTE($D244,_xlfn.UNICHAR(160)," ")),CSDL_Virus!$A$2:$D$41,2,FALSE()),"Chưa phân loại")</f>
        <v>SilentBank</v>
      </c>
      <c r="F244" s="6" t="str">
        <f aca="false">IFERROR(VLOOKUP(TRIM(SUBSTITUTE($D244,_xlfn.UNICHAR(160)," ")),CSDL_Virus!$A$2:$D$41,3,FALSE()),"Chưa phân loại")</f>
        <v>Trojan</v>
      </c>
      <c r="G244" s="6" t="str">
        <f aca="false">IFERROR(VLOOKUP(TRIM(SUBSTITUTE($D244,_xlfn.UNICHAR(160)," ")),CSDL_Virus!$A$2:$D$41,4,FALSE()),"Chưa phân loại")</f>
        <v>Cao</v>
      </c>
    </row>
    <row r="245" customFormat="false" ht="15" hidden="false" customHeight="false" outlineLevel="0" collapsed="false">
      <c r="A245" s="7" t="n">
        <v>46318.2972222222</v>
      </c>
      <c r="B245" s="6" t="s">
        <v>117</v>
      </c>
      <c r="C245" s="6" t="s">
        <v>365</v>
      </c>
      <c r="D245" s="6" t="s">
        <v>60</v>
      </c>
      <c r="E245" s="6" t="str">
        <f aca="false">IFERROR(VLOOKUP(TRIM(SUBSTITUTE($D245,_xlfn.UNICHAR(160)," ")),CSDL_Virus!$A$2:$D$41,2,FALSE()),"Chưa phân loại")</f>
        <v>TideRoot</v>
      </c>
      <c r="F245" s="6" t="str">
        <f aca="false">IFERROR(VLOOKUP(TRIM(SUBSTITUTE($D245,_xlfn.UNICHAR(160)," ")),CSDL_Virus!$A$2:$D$41,3,FALSE()),"Chưa phân loại")</f>
        <v>Worm</v>
      </c>
      <c r="G245" s="6" t="str">
        <f aca="false">IFERROR(VLOOKUP(TRIM(SUBSTITUTE($D245,_xlfn.UNICHAR(160)," ")),CSDL_Virus!$A$2:$D$41,4,FALSE()),"Chưa phân loại")</f>
        <v>Thấp</v>
      </c>
    </row>
    <row r="246" customFormat="false" ht="15" hidden="false" customHeight="false" outlineLevel="0" collapsed="false">
      <c r="A246" s="7" t="n">
        <v>46318.3145833333</v>
      </c>
      <c r="B246" s="6" t="s">
        <v>132</v>
      </c>
      <c r="C246" s="6" t="s">
        <v>366</v>
      </c>
      <c r="D246" s="6" t="s">
        <v>37</v>
      </c>
      <c r="E246" s="6" t="str">
        <f aca="false">IFERROR(VLOOKUP(TRIM(SUBSTITUTE($D246,_xlfn.UNICHAR(160)," ")),CSDL_Virus!$A$2:$D$41,2,FALSE()),"Chưa phân loại")</f>
        <v>SilentBank</v>
      </c>
      <c r="F246" s="6" t="str">
        <f aca="false">IFERROR(VLOOKUP(TRIM(SUBSTITUTE($D246,_xlfn.UNICHAR(160)," ")),CSDL_Virus!$A$2:$D$41,3,FALSE()),"Chưa phân loại")</f>
        <v>Trojan</v>
      </c>
      <c r="G246" s="6" t="str">
        <f aca="false">IFERROR(VLOOKUP(TRIM(SUBSTITUTE($D246,_xlfn.UNICHAR(160)," ")),CSDL_Virus!$A$2:$D$41,4,FALSE()),"Chưa phân loại")</f>
        <v>Cao</v>
      </c>
    </row>
    <row r="247" customFormat="false" ht="15" hidden="false" customHeight="false" outlineLevel="0" collapsed="false">
      <c r="A247" s="7" t="n">
        <v>46318.3388888889</v>
      </c>
      <c r="B247" s="6" t="s">
        <v>124</v>
      </c>
      <c r="C247" s="6" t="s">
        <v>367</v>
      </c>
      <c r="D247" s="6" t="s">
        <v>42</v>
      </c>
      <c r="E247" s="6" t="str">
        <f aca="false">IFERROR(VLOOKUP(TRIM(SUBSTITUTE($D247,_xlfn.UNICHAR(160)," ")),CSDL_Virus!$A$2:$D$41,2,FALSE()),"Chưa phân loại")</f>
        <v>PaleMask</v>
      </c>
      <c r="F247" s="6" t="str">
        <f aca="false">IFERROR(VLOOKUP(TRIM(SUBSTITUTE($D247,_xlfn.UNICHAR(160)," ")),CSDL_Virus!$A$2:$D$41,3,FALSE()),"Chưa phân loại")</f>
        <v>Trojan</v>
      </c>
      <c r="G247" s="6" t="str">
        <f aca="false">IFERROR(VLOOKUP(TRIM(SUBSTITUTE($D247,_xlfn.UNICHAR(160)," ")),CSDL_Virus!$A$2:$D$41,4,FALSE()),"Chưa phân loại")</f>
        <v>Trung bình</v>
      </c>
    </row>
    <row r="248" customFormat="false" ht="15" hidden="false" customHeight="false" outlineLevel="0" collapsed="false">
      <c r="A248" s="7" t="n">
        <v>46318.3722222222</v>
      </c>
      <c r="B248" s="6" t="s">
        <v>127</v>
      </c>
      <c r="C248" s="6" t="s">
        <v>334</v>
      </c>
      <c r="D248" s="6" t="s">
        <v>88</v>
      </c>
      <c r="E248" s="6" t="str">
        <f aca="false">IFERROR(VLOOKUP(TRIM(SUBSTITUTE($D248,_xlfn.UNICHAR(160)," ")),CSDL_Virus!$A$2:$D$41,2,FALSE()),"Chưa phân loại")</f>
        <v>HeatLeech</v>
      </c>
      <c r="F248" s="6" t="str">
        <f aca="false">IFERROR(VLOOKUP(TRIM(SUBSTITUTE($D248,_xlfn.UNICHAR(160)," ")),CSDL_Virus!$A$2:$D$41,3,FALSE()),"Chưa phân loại")</f>
        <v>Cryptominer</v>
      </c>
      <c r="G248" s="6" t="str">
        <f aca="false">IFERROR(VLOOKUP(TRIM(SUBSTITUTE($D248,_xlfn.UNICHAR(160)," ")),CSDL_Virus!$A$2:$D$41,4,FALSE()),"Chưa phân loại")</f>
        <v>Trung bình</v>
      </c>
    </row>
    <row r="249" customFormat="false" ht="15" hidden="false" customHeight="false" outlineLevel="0" collapsed="false">
      <c r="A249" s="7" t="n">
        <v>46318.3756944445</v>
      </c>
      <c r="B249" s="6" t="s">
        <v>124</v>
      </c>
      <c r="C249" s="6" t="s">
        <v>368</v>
      </c>
      <c r="D249" s="6" t="s">
        <v>369</v>
      </c>
      <c r="E249" s="6" t="str">
        <f aca="false">IFERROR(VLOOKUP(TRIM(SUBSTITUTE($D249,_xlfn.UNICHAR(160)," ")),CSDL_Virus!$A$2:$D$41,2,FALSE()),"Chưa phân loại")</f>
        <v>CopperVeil</v>
      </c>
      <c r="F249" s="6" t="str">
        <f aca="false">IFERROR(VLOOKUP(TRIM(SUBSTITUTE($D249,_xlfn.UNICHAR(160)," ")),CSDL_Virus!$A$2:$D$41,3,FALSE()),"Chưa phân loại")</f>
        <v>Trojan</v>
      </c>
      <c r="G249" s="6" t="str">
        <f aca="false">IFERROR(VLOOKUP(TRIM(SUBSTITUTE($D249,_xlfn.UNICHAR(160)," ")),CSDL_Virus!$A$2:$D$41,4,FALSE()),"Chưa phân loại")</f>
        <v>Cao</v>
      </c>
    </row>
    <row r="250" customFormat="false" ht="15" hidden="false" customHeight="false" outlineLevel="0" collapsed="false">
      <c r="A250" s="7" t="n">
        <v>46318.5555555556</v>
      </c>
      <c r="B250" s="6" t="s">
        <v>141</v>
      </c>
      <c r="C250" s="6" t="s">
        <v>263</v>
      </c>
      <c r="D250" s="6" t="s">
        <v>85</v>
      </c>
      <c r="E250" s="6" t="str">
        <f aca="false">IFERROR(VLOOKUP(TRIM(SUBSTITUTE($D250,_xlfn.UNICHAR(160)," ")),CSDL_Virus!$A$2:$D$41,2,FALSE()),"Chưa phân loại")</f>
        <v>CoinMoth</v>
      </c>
      <c r="F250" s="6" t="str">
        <f aca="false">IFERROR(VLOOKUP(TRIM(SUBSTITUTE($D250,_xlfn.UNICHAR(160)," ")),CSDL_Virus!$A$2:$D$41,3,FALSE()),"Chưa phân loại")</f>
        <v>Cryptominer</v>
      </c>
      <c r="G250" s="6" t="str">
        <f aca="false">IFERROR(VLOOKUP(TRIM(SUBSTITUTE($D250,_xlfn.UNICHAR(160)," ")),CSDL_Virus!$A$2:$D$41,4,FALSE()),"Chưa phân loại")</f>
        <v>Thấp</v>
      </c>
    </row>
    <row r="251" customFormat="false" ht="15" hidden="false" customHeight="false" outlineLevel="0" collapsed="false">
      <c r="A251" s="7" t="n">
        <v>46318.5791666667</v>
      </c>
      <c r="B251" s="6" t="s">
        <v>141</v>
      </c>
      <c r="C251" s="6" t="s">
        <v>370</v>
      </c>
      <c r="D251" s="6" t="s">
        <v>58</v>
      </c>
      <c r="E251" s="6" t="str">
        <f aca="false">IFERROR(VLOOKUP(TRIM(SUBSTITUTE($D251,_xlfn.UNICHAR(160)," ")),CSDL_Virus!$A$2:$D$41,2,FALSE()),"Chưa phân loại")</f>
        <v>BrightFuse</v>
      </c>
      <c r="F251" s="6" t="str">
        <f aca="false">IFERROR(VLOOKUP(TRIM(SUBSTITUTE($D251,_xlfn.UNICHAR(160)," ")),CSDL_Virus!$A$2:$D$41,3,FALSE()),"Chưa phân loại")</f>
        <v>Worm</v>
      </c>
      <c r="G251" s="6" t="str">
        <f aca="false">IFERROR(VLOOKUP(TRIM(SUBSTITUTE($D251,_xlfn.UNICHAR(160)," ")),CSDL_Virus!$A$2:$D$41,4,FALSE()),"Chưa phân loại")</f>
        <v>Cao</v>
      </c>
    </row>
    <row r="252" customFormat="false" ht="15" hidden="false" customHeight="false" outlineLevel="0" collapsed="false">
      <c r="A252" s="7" t="n">
        <v>46318.6486111111</v>
      </c>
      <c r="B252" s="6" t="s">
        <v>141</v>
      </c>
      <c r="C252" s="6" t="s">
        <v>155</v>
      </c>
      <c r="D252" s="6" t="s">
        <v>92</v>
      </c>
      <c r="E252" s="6" t="str">
        <f aca="false">IFERROR(VLOOKUP(TRIM(SUBSTITUTE($D252,_xlfn.UNICHAR(160)," ")),CSDL_Virus!$A$2:$D$41,2,FALSE()),"Chưa phân loại")</f>
        <v>DeepTick</v>
      </c>
      <c r="F252" s="6" t="str">
        <f aca="false">IFERROR(VLOOKUP(TRIM(SUBSTITUTE($D252,_xlfn.UNICHAR(160)," ")),CSDL_Virus!$A$2:$D$41,3,FALSE()),"Chưa phân loại")</f>
        <v>Cryptominer</v>
      </c>
      <c r="G252" s="6" t="str">
        <f aca="false">IFERROR(VLOOKUP(TRIM(SUBSTITUTE($D252,_xlfn.UNICHAR(160)," ")),CSDL_Virus!$A$2:$D$41,4,FALSE()),"Chưa phân loại")</f>
        <v>Trung bình</v>
      </c>
    </row>
    <row r="253" customFormat="false" ht="15" hidden="false" customHeight="false" outlineLevel="0" collapsed="false">
      <c r="A253" s="7" t="n">
        <v>46318.6583333333</v>
      </c>
      <c r="B253" s="6" t="s">
        <v>127</v>
      </c>
      <c r="C253" s="6" t="s">
        <v>371</v>
      </c>
      <c r="D253" s="6" t="s">
        <v>197</v>
      </c>
      <c r="E253" s="6" t="str">
        <f aca="false">IFERROR(VLOOKUP(TRIM(SUBSTITUTE($D253,_xlfn.UNICHAR(160)," ")),CSDL_Virus!$A$2:$D$41,2,FALSE()),"Chưa phân loại")</f>
        <v>Chưa phân loại</v>
      </c>
      <c r="F253" s="6" t="str">
        <f aca="false">IFERROR(VLOOKUP(TRIM(SUBSTITUTE($D253,_xlfn.UNICHAR(160)," ")),CSDL_Virus!$A$2:$D$41,3,FALSE()),"Chưa phân loại")</f>
        <v>Chưa phân loại</v>
      </c>
      <c r="G253" s="6" t="str">
        <f aca="false">IFERROR(VLOOKUP(TRIM(SUBSTITUTE($D253,_xlfn.UNICHAR(160)," ")),CSDL_Virus!$A$2:$D$41,4,FALSE()),"Chưa phân loại")</f>
        <v>Chưa phân loại</v>
      </c>
    </row>
    <row r="254" customFormat="false" ht="15" hidden="false" customHeight="false" outlineLevel="0" collapsed="false">
      <c r="A254" s="7" t="n">
        <v>46318.6708333333</v>
      </c>
      <c r="B254" s="6" t="s">
        <v>117</v>
      </c>
      <c r="C254" s="6" t="s">
        <v>372</v>
      </c>
      <c r="D254" s="6" t="s">
        <v>373</v>
      </c>
      <c r="E254" s="6" t="str">
        <f aca="false">IFERROR(VLOOKUP(TRIM(SUBSTITUTE($D254,_xlfn.UNICHAR(160)," ")),CSDL_Virus!$A$2:$D$41,2,FALSE()),"Chưa phân loại")</f>
        <v>GlassTap</v>
      </c>
      <c r="F254" s="6" t="str">
        <f aca="false">IFERROR(VLOOKUP(TRIM(SUBSTITUTE($D254,_xlfn.UNICHAR(160)," ")),CSDL_Virus!$A$2:$D$41,3,FALSE()),"Chưa phân loại")</f>
        <v>Spyware</v>
      </c>
      <c r="G254" s="6" t="str">
        <f aca="false">IFERROR(VLOOKUP(TRIM(SUBSTITUTE($D254,_xlfn.UNICHAR(160)," ")),CSDL_Virus!$A$2:$D$41,4,FALSE()),"Chưa phân loại")</f>
        <v>Cao</v>
      </c>
    </row>
    <row r="255" customFormat="false" ht="15" hidden="false" customHeight="false" outlineLevel="0" collapsed="false">
      <c r="A255" s="7" t="n">
        <v>46318.7083333333</v>
      </c>
      <c r="B255" s="6" t="s">
        <v>172</v>
      </c>
      <c r="C255" s="6" t="s">
        <v>374</v>
      </c>
      <c r="D255" s="6" t="s">
        <v>60</v>
      </c>
      <c r="E255" s="6" t="str">
        <f aca="false">IFERROR(VLOOKUP(TRIM(SUBSTITUTE($D255,_xlfn.UNICHAR(160)," ")),CSDL_Virus!$A$2:$D$41,2,FALSE()),"Chưa phân loại")</f>
        <v>TideRoot</v>
      </c>
      <c r="F255" s="6" t="str">
        <f aca="false">IFERROR(VLOOKUP(TRIM(SUBSTITUTE($D255,_xlfn.UNICHAR(160)," ")),CSDL_Virus!$A$2:$D$41,3,FALSE()),"Chưa phân loại")</f>
        <v>Worm</v>
      </c>
      <c r="G255" s="6" t="str">
        <f aca="false">IFERROR(VLOOKUP(TRIM(SUBSTITUTE($D255,_xlfn.UNICHAR(160)," ")),CSDL_Virus!$A$2:$D$41,4,FALSE()),"Chưa phân loại")</f>
        <v>Thấp</v>
      </c>
    </row>
    <row r="256" customFormat="false" ht="15" hidden="false" customHeight="false" outlineLevel="0" collapsed="false">
      <c r="A256" s="7" t="n">
        <v>46318.7958333333</v>
      </c>
      <c r="B256" s="6" t="s">
        <v>141</v>
      </c>
      <c r="C256" s="6" t="s">
        <v>375</v>
      </c>
      <c r="D256" s="6" t="s">
        <v>58</v>
      </c>
      <c r="E256" s="6" t="str">
        <f aca="false">IFERROR(VLOOKUP(TRIM(SUBSTITUTE($D256,_xlfn.UNICHAR(160)," ")),CSDL_Virus!$A$2:$D$41,2,FALSE()),"Chưa phân loại")</f>
        <v>BrightFuse</v>
      </c>
      <c r="F256" s="6" t="str">
        <f aca="false">IFERROR(VLOOKUP(TRIM(SUBSTITUTE($D256,_xlfn.UNICHAR(160)," ")),CSDL_Virus!$A$2:$D$41,3,FALSE()),"Chưa phân loại")</f>
        <v>Worm</v>
      </c>
      <c r="G256" s="6" t="str">
        <f aca="false">IFERROR(VLOOKUP(TRIM(SUBSTITUTE($D256,_xlfn.UNICHAR(160)," ")),CSDL_Virus!$A$2:$D$41,4,FALSE()),"Chưa phân loại")</f>
        <v>Cao</v>
      </c>
    </row>
    <row r="257" customFormat="false" ht="15" hidden="false" customHeight="false" outlineLevel="0" collapsed="false">
      <c r="A257" s="7" t="n">
        <v>46318.8027777778</v>
      </c>
      <c r="B257" s="6" t="s">
        <v>139</v>
      </c>
      <c r="C257" s="6" t="s">
        <v>205</v>
      </c>
      <c r="D257" s="6" t="s">
        <v>66</v>
      </c>
      <c r="E257" s="6" t="str">
        <f aca="false">IFERROR(VLOOKUP(TRIM(SUBSTITUTE($D257,_xlfn.UNICHAR(160)," ")),CSDL_Virus!$A$2:$D$41,2,FALSE()),"Chưa phân loại")</f>
        <v>GlassTap</v>
      </c>
      <c r="F257" s="6" t="str">
        <f aca="false">IFERROR(VLOOKUP(TRIM(SUBSTITUTE($D257,_xlfn.UNICHAR(160)," ")),CSDL_Virus!$A$2:$D$41,3,FALSE()),"Chưa phân loại")</f>
        <v>Spyware</v>
      </c>
      <c r="G257" s="6" t="str">
        <f aca="false">IFERROR(VLOOKUP(TRIM(SUBSTITUTE($D257,_xlfn.UNICHAR(160)," ")),CSDL_Virus!$A$2:$D$41,4,FALSE()),"Chưa phân loại")</f>
        <v>Cao</v>
      </c>
    </row>
    <row r="258" customFormat="false" ht="15" hidden="false" customHeight="false" outlineLevel="0" collapsed="false">
      <c r="A258" s="7" t="n">
        <v>46318.8125</v>
      </c>
      <c r="B258" s="6" t="s">
        <v>141</v>
      </c>
      <c r="C258" s="6" t="s">
        <v>376</v>
      </c>
      <c r="D258" s="6" t="s">
        <v>101</v>
      </c>
      <c r="E258" s="6" t="str">
        <f aca="false">IFERROR(VLOOKUP(TRIM(SUBSTITUTE($D258,_xlfn.UNICHAR(160)," ")),CSDL_Virus!$A$2:$D$41,2,FALSE()),"Chưa phân loại")</f>
        <v>HookLedger</v>
      </c>
      <c r="F258" s="6" t="str">
        <f aca="false">IFERROR(VLOOKUP(TRIM(SUBSTITUTE($D258,_xlfn.UNICHAR(160)," ")),CSDL_Virus!$A$2:$D$41,3,FALSE()),"Chưa phân loại")</f>
        <v>Phishing kit</v>
      </c>
      <c r="G258" s="6" t="str">
        <f aca="false">IFERROR(VLOOKUP(TRIM(SUBSTITUTE($D258,_xlfn.UNICHAR(160)," ")),CSDL_Virus!$A$2:$D$41,4,FALSE()),"Chưa phân loại")</f>
        <v>Cao</v>
      </c>
    </row>
    <row r="259" customFormat="false" ht="15" hidden="false" customHeight="false" outlineLevel="0" collapsed="false">
      <c r="A259" s="7" t="n">
        <v>46318.8340277778</v>
      </c>
      <c r="B259" s="6" t="s">
        <v>127</v>
      </c>
      <c r="C259" s="6" t="s">
        <v>291</v>
      </c>
      <c r="D259" s="6" t="s">
        <v>188</v>
      </c>
      <c r="E259" s="6" t="str">
        <f aca="false">IFERROR(VLOOKUP(TRIM(SUBSTITUTE($D259,_xlfn.UNICHAR(160)," ")),CSDL_Virus!$A$2:$D$41,2,FALSE()),"Chưa phân loại")</f>
        <v>IronFlock</v>
      </c>
      <c r="F259" s="6" t="str">
        <f aca="false">IFERROR(VLOOKUP(TRIM(SUBSTITUTE($D259,_xlfn.UNICHAR(160)," ")),CSDL_Virus!$A$2:$D$41,3,FALSE()),"Chưa phân loại")</f>
        <v>Botnet</v>
      </c>
      <c r="G259" s="6" t="str">
        <f aca="false">IFERROR(VLOOKUP(TRIM(SUBSTITUTE($D259,_xlfn.UNICHAR(160)," ")),CSDL_Virus!$A$2:$D$41,4,FALSE()),"Chưa phân loại")</f>
        <v>Cao</v>
      </c>
    </row>
    <row r="260" customFormat="false" ht="15" hidden="false" customHeight="false" outlineLevel="0" collapsed="false">
      <c r="A260" s="7" t="n">
        <v>46318.8763888889</v>
      </c>
      <c r="B260" s="6" t="s">
        <v>132</v>
      </c>
      <c r="C260" s="6" t="s">
        <v>273</v>
      </c>
      <c r="D260" s="6" t="s">
        <v>96</v>
      </c>
      <c r="E260" s="6" t="str">
        <f aca="false">IFERROR(VLOOKUP(TRIM(SUBSTITUTE($D260,_xlfn.UNICHAR(160)," ")),CSDL_Virus!$A$2:$D$41,2,FALSE()),"Chưa phân loại")</f>
        <v>BaitCrate</v>
      </c>
      <c r="F260" s="6" t="str">
        <f aca="false">IFERROR(VLOOKUP(TRIM(SUBSTITUTE($D260,_xlfn.UNICHAR(160)," ")),CSDL_Virus!$A$2:$D$41,3,FALSE()),"Chưa phân loại")</f>
        <v>Phishing kit</v>
      </c>
      <c r="G260" s="6" t="str">
        <f aca="false">IFERROR(VLOOKUP(TRIM(SUBSTITUTE($D260,_xlfn.UNICHAR(160)," ")),CSDL_Virus!$A$2:$D$41,4,FALSE()),"Chưa phân loại")</f>
        <v>Cao</v>
      </c>
    </row>
    <row r="261" customFormat="false" ht="15" hidden="false" customHeight="false" outlineLevel="0" collapsed="false">
      <c r="A261" s="7" t="n">
        <v>46319.0229166667</v>
      </c>
      <c r="B261" s="6" t="s">
        <v>127</v>
      </c>
      <c r="C261" s="6" t="s">
        <v>377</v>
      </c>
      <c r="D261" s="6" t="s">
        <v>26</v>
      </c>
      <c r="E261" s="6" t="str">
        <f aca="false">IFERROR(VLOOKUP(TRIM(SUBSTITUTE($D261,_xlfn.UNICHAR(160)," ")),CSDL_Virus!$A$2:$D$41,2,FALSE()),"Chưa phân loại")</f>
        <v>CrimsonLoop</v>
      </c>
      <c r="F261" s="6" t="str">
        <f aca="false">IFERROR(VLOOKUP(TRIM(SUBSTITUTE($D261,_xlfn.UNICHAR(160)," ")),CSDL_Virus!$A$2:$D$41,3,FALSE()),"Chưa phân loại")</f>
        <v>Ransomware</v>
      </c>
      <c r="G261" s="6" t="str">
        <f aca="false">IFERROR(VLOOKUP(TRIM(SUBSTITUTE($D261,_xlfn.UNICHAR(160)," ")),CSDL_Virus!$A$2:$D$41,4,FALSE()),"Chưa phân loại")</f>
        <v>Nghiêm trọng</v>
      </c>
    </row>
    <row r="262" customFormat="false" ht="15" hidden="false" customHeight="false" outlineLevel="0" collapsed="false">
      <c r="A262" s="7" t="n">
        <v>46319.0826388889</v>
      </c>
      <c r="B262" s="6" t="s">
        <v>119</v>
      </c>
      <c r="C262" s="6" t="s">
        <v>283</v>
      </c>
      <c r="D262" s="6" t="s">
        <v>109</v>
      </c>
      <c r="E262" s="6" t="str">
        <f aca="false">IFERROR(VLOOKUP(TRIM(SUBSTITUTE($D262,_xlfn.UNICHAR(160)," ")),CSDL_Virus!$A$2:$D$41,2,FALSE()),"Chưa phân loại")</f>
        <v>RustyHinge</v>
      </c>
      <c r="F262" s="6" t="str">
        <f aca="false">IFERROR(VLOOKUP(TRIM(SUBSTITUTE($D262,_xlfn.UNICHAR(160)," ")),CSDL_Virus!$A$2:$D$41,3,FALSE()),"Chưa phân loại")</f>
        <v>Trojan</v>
      </c>
      <c r="G262" s="6" t="str">
        <f aca="false">IFERROR(VLOOKUP(TRIM(SUBSTITUTE($D262,_xlfn.UNICHAR(160)," ")),CSDL_Virus!$A$2:$D$41,4,FALSE()),"Chưa phân loại")</f>
        <v>Trung bình</v>
      </c>
    </row>
    <row r="263" customFormat="false" ht="15" hidden="false" customHeight="false" outlineLevel="0" collapsed="false">
      <c r="A263" s="7" t="n">
        <v>46319.2576388889</v>
      </c>
      <c r="B263" s="6" t="s">
        <v>117</v>
      </c>
      <c r="C263" s="6" t="s">
        <v>136</v>
      </c>
      <c r="D263" s="6" t="s">
        <v>40</v>
      </c>
      <c r="E263" s="6" t="str">
        <f aca="false">IFERROR(VLOOKUP(TRIM(SUBSTITUTE($D263,_xlfn.UNICHAR(160)," ")),CSDL_Virus!$A$2:$D$41,2,FALSE()),"Chưa phân loại")</f>
        <v>HollowDoor</v>
      </c>
      <c r="F263" s="6" t="str">
        <f aca="false">IFERROR(VLOOKUP(TRIM(SUBSTITUTE($D263,_xlfn.UNICHAR(160)," ")),CSDL_Virus!$A$2:$D$41,3,FALSE()),"Chưa phân loại")</f>
        <v>Trojan</v>
      </c>
      <c r="G263" s="6" t="str">
        <f aca="false">IFERROR(VLOOKUP(TRIM(SUBSTITUTE($D263,_xlfn.UNICHAR(160)," ")),CSDL_Virus!$A$2:$D$41,4,FALSE()),"Chưa phân loại")</f>
        <v>Cao</v>
      </c>
    </row>
    <row r="264" customFormat="false" ht="15" hidden="false" customHeight="false" outlineLevel="0" collapsed="false">
      <c r="A264" s="7" t="n">
        <v>46319.3159722222</v>
      </c>
      <c r="B264" s="6" t="s">
        <v>117</v>
      </c>
      <c r="C264" s="6" t="s">
        <v>242</v>
      </c>
      <c r="D264" s="6" t="s">
        <v>26</v>
      </c>
      <c r="E264" s="6" t="str">
        <f aca="false">IFERROR(VLOOKUP(TRIM(SUBSTITUTE($D264,_xlfn.UNICHAR(160)," ")),CSDL_Virus!$A$2:$D$41,2,FALSE()),"Chưa phân loại")</f>
        <v>CrimsonLoop</v>
      </c>
      <c r="F264" s="6" t="str">
        <f aca="false">IFERROR(VLOOKUP(TRIM(SUBSTITUTE($D264,_xlfn.UNICHAR(160)," ")),CSDL_Virus!$A$2:$D$41,3,FALSE()),"Chưa phân loại")</f>
        <v>Ransomware</v>
      </c>
      <c r="G264" s="6" t="str">
        <f aca="false">IFERROR(VLOOKUP(TRIM(SUBSTITUTE($D264,_xlfn.UNICHAR(160)," ")),CSDL_Virus!$A$2:$D$41,4,FALSE()),"Chưa phân loại")</f>
        <v>Nghiêm trọng</v>
      </c>
    </row>
    <row r="265" customFormat="false" ht="15" hidden="false" customHeight="false" outlineLevel="0" collapsed="false">
      <c r="A265" s="7" t="n">
        <v>46319.4263888889</v>
      </c>
      <c r="B265" s="6" t="s">
        <v>117</v>
      </c>
      <c r="C265" s="6" t="s">
        <v>156</v>
      </c>
      <c r="D265" s="6" t="s">
        <v>83</v>
      </c>
      <c r="E265" s="6" t="str">
        <f aca="false">IFERROR(VLOOKUP(TRIM(SUBSTITUTE($D265,_xlfn.UNICHAR(160)," ")),CSDL_Virus!$A$2:$D$41,2,FALSE()),"Chưa phân loại")</f>
        <v>GreyChain</v>
      </c>
      <c r="F265" s="6" t="str">
        <f aca="false">IFERROR(VLOOKUP(TRIM(SUBSTITUTE($D265,_xlfn.UNICHAR(160)," ")),CSDL_Virus!$A$2:$D$41,3,FALSE()),"Chưa phân loại")</f>
        <v>Botnet</v>
      </c>
      <c r="G265" s="6" t="str">
        <f aca="false">IFERROR(VLOOKUP(TRIM(SUBSTITUTE($D265,_xlfn.UNICHAR(160)," ")),CSDL_Virus!$A$2:$D$41,4,FALSE()),"Chưa phân loại")</f>
        <v>Thấp</v>
      </c>
    </row>
    <row r="266" customFormat="false" ht="15" hidden="false" customHeight="false" outlineLevel="0" collapsed="false">
      <c r="A266" s="7" t="n">
        <v>46319.54375</v>
      </c>
      <c r="B266" s="6" t="s">
        <v>127</v>
      </c>
      <c r="C266" s="6" t="s">
        <v>153</v>
      </c>
      <c r="D266" s="6" t="s">
        <v>92</v>
      </c>
      <c r="E266" s="6" t="str">
        <f aca="false">IFERROR(VLOOKUP(TRIM(SUBSTITUTE($D266,_xlfn.UNICHAR(160)," ")),CSDL_Virus!$A$2:$D$41,2,FALSE()),"Chưa phân loại")</f>
        <v>DeepTick</v>
      </c>
      <c r="F266" s="6" t="str">
        <f aca="false">IFERROR(VLOOKUP(TRIM(SUBSTITUTE($D266,_xlfn.UNICHAR(160)," ")),CSDL_Virus!$A$2:$D$41,3,FALSE()),"Chưa phân loại")</f>
        <v>Cryptominer</v>
      </c>
      <c r="G266" s="6" t="str">
        <f aca="false">IFERROR(VLOOKUP(TRIM(SUBSTITUTE($D266,_xlfn.UNICHAR(160)," ")),CSDL_Virus!$A$2:$D$41,4,FALSE()),"Chưa phân loại")</f>
        <v>Trung bình</v>
      </c>
    </row>
    <row r="267" customFormat="false" ht="15" hidden="false" customHeight="false" outlineLevel="0" collapsed="false">
      <c r="A267" s="7" t="n">
        <v>46319.6048611111</v>
      </c>
      <c r="B267" s="6" t="s">
        <v>119</v>
      </c>
      <c r="C267" s="6" t="s">
        <v>378</v>
      </c>
      <c r="D267" s="6" t="s">
        <v>88</v>
      </c>
      <c r="E267" s="6" t="str">
        <f aca="false">IFERROR(VLOOKUP(TRIM(SUBSTITUTE($D267,_xlfn.UNICHAR(160)," ")),CSDL_Virus!$A$2:$D$41,2,FALSE()),"Chưa phân loại")</f>
        <v>HeatLeech</v>
      </c>
      <c r="F267" s="6" t="str">
        <f aca="false">IFERROR(VLOOKUP(TRIM(SUBSTITUTE($D267,_xlfn.UNICHAR(160)," ")),CSDL_Virus!$A$2:$D$41,3,FALSE()),"Chưa phân loại")</f>
        <v>Cryptominer</v>
      </c>
      <c r="G267" s="6" t="str">
        <f aca="false">IFERROR(VLOOKUP(TRIM(SUBSTITUTE($D267,_xlfn.UNICHAR(160)," ")),CSDL_Virus!$A$2:$D$41,4,FALSE()),"Chưa phân loại")</f>
        <v>Trung bình</v>
      </c>
    </row>
    <row r="268" customFormat="false" ht="15" hidden="false" customHeight="false" outlineLevel="0" collapsed="false">
      <c r="A268" s="7" t="n">
        <v>46319.7263888889</v>
      </c>
      <c r="B268" s="6" t="s">
        <v>127</v>
      </c>
      <c r="C268" s="6" t="s">
        <v>379</v>
      </c>
      <c r="D268" s="6" t="s">
        <v>40</v>
      </c>
      <c r="E268" s="6" t="str">
        <f aca="false">IFERROR(VLOOKUP(TRIM(SUBSTITUTE($D268,_xlfn.UNICHAR(160)," ")),CSDL_Virus!$A$2:$D$41,2,FALSE()),"Chưa phân loại")</f>
        <v>HollowDoor</v>
      </c>
      <c r="F268" s="6" t="str">
        <f aca="false">IFERROR(VLOOKUP(TRIM(SUBSTITUTE($D268,_xlfn.UNICHAR(160)," ")),CSDL_Virus!$A$2:$D$41,3,FALSE()),"Chưa phân loại")</f>
        <v>Trojan</v>
      </c>
      <c r="G268" s="6" t="str">
        <f aca="false">IFERROR(VLOOKUP(TRIM(SUBSTITUTE($D268,_xlfn.UNICHAR(160)," ")),CSDL_Virus!$A$2:$D$41,4,FALSE()),"Chưa phân loại")</f>
        <v>Cao</v>
      </c>
    </row>
    <row r="269" customFormat="false" ht="15" hidden="false" customHeight="false" outlineLevel="0" collapsed="false">
      <c r="A269" s="7" t="n">
        <v>46319.7284722222</v>
      </c>
      <c r="B269" s="6" t="s">
        <v>127</v>
      </c>
      <c r="C269" s="6" t="s">
        <v>380</v>
      </c>
      <c r="D269" s="6" t="s">
        <v>381</v>
      </c>
      <c r="E269" s="6" t="str">
        <f aca="false">IFERROR(VLOOKUP(TRIM(SUBSTITUTE($D269,_xlfn.UNICHAR(160)," ")),CSDL_Virus!$A$2:$D$41,2,FALSE()),"Chưa phân loại")</f>
        <v>SilkLure</v>
      </c>
      <c r="F269" s="6" t="str">
        <f aca="false">IFERROR(VLOOKUP(TRIM(SUBSTITUTE($D269,_xlfn.UNICHAR(160)," ")),CSDL_Virus!$A$2:$D$41,3,FALSE()),"Chưa phân loại")</f>
        <v>Phishing kit</v>
      </c>
      <c r="G269" s="6" t="str">
        <f aca="false">IFERROR(VLOOKUP(TRIM(SUBSTITUTE($D269,_xlfn.UNICHAR(160)," ")),CSDL_Virus!$A$2:$D$41,4,FALSE()),"Chưa phân loại")</f>
        <v>Thấp</v>
      </c>
    </row>
    <row r="270" customFormat="false" ht="15" hidden="false" customHeight="false" outlineLevel="0" collapsed="false">
      <c r="A270" s="7" t="n">
        <v>46319.7375</v>
      </c>
      <c r="B270" s="6" t="s">
        <v>172</v>
      </c>
      <c r="C270" s="6" t="s">
        <v>364</v>
      </c>
      <c r="D270" s="6" t="s">
        <v>51</v>
      </c>
      <c r="E270" s="6" t="str">
        <f aca="false">IFERROR(VLOOKUP(TRIM(SUBSTITUTE($D270,_xlfn.UNICHAR(160)," ")),CSDL_Virus!$A$2:$D$41,2,FALSE()),"Chưa phân loại")</f>
        <v>RiverSpark</v>
      </c>
      <c r="F270" s="6" t="str">
        <f aca="false">IFERROR(VLOOKUP(TRIM(SUBSTITUTE($D270,_xlfn.UNICHAR(160)," ")),CSDL_Virus!$A$2:$D$41,3,FALSE()),"Chưa phân loại")</f>
        <v>Worm</v>
      </c>
      <c r="G270" s="6" t="str">
        <f aca="false">IFERROR(VLOOKUP(TRIM(SUBSTITUTE($D270,_xlfn.UNICHAR(160)," ")),CSDL_Virus!$A$2:$D$41,4,FALSE()),"Chưa phân loại")</f>
        <v>Cao</v>
      </c>
    </row>
    <row r="271" customFormat="false" ht="15" hidden="false" customHeight="false" outlineLevel="0" collapsed="false">
      <c r="A271" s="7" t="n">
        <v>46319.8145833333</v>
      </c>
      <c r="B271" s="6" t="s">
        <v>141</v>
      </c>
      <c r="C271" s="6" t="s">
        <v>165</v>
      </c>
      <c r="D271" s="6" t="s">
        <v>47</v>
      </c>
      <c r="E271" s="6" t="str">
        <f aca="false">IFERROR(VLOOKUP(TRIM(SUBSTITUTE($D271,_xlfn.UNICHAR(160)," ")),CSDL_Virus!$A$2:$D$41,2,FALSE()),"Chưa phân loại")</f>
        <v>TwinShell</v>
      </c>
      <c r="F271" s="6" t="str">
        <f aca="false">IFERROR(VLOOKUP(TRIM(SUBSTITUTE($D271,_xlfn.UNICHAR(160)," ")),CSDL_Virus!$A$2:$D$41,3,FALSE()),"Chưa phân loại")</f>
        <v>Trojan</v>
      </c>
      <c r="G271" s="6" t="str">
        <f aca="false">IFERROR(VLOOKUP(TRIM(SUBSTITUTE($D271,_xlfn.UNICHAR(160)," ")),CSDL_Virus!$A$2:$D$41,4,FALSE()),"Chưa phân loại")</f>
        <v>Trung bình</v>
      </c>
    </row>
    <row r="272" customFormat="false" ht="15" hidden="false" customHeight="false" outlineLevel="0" collapsed="false">
      <c r="A272" s="7" t="n">
        <v>46319.8847222222</v>
      </c>
      <c r="B272" s="6" t="s">
        <v>132</v>
      </c>
      <c r="C272" s="6" t="s">
        <v>382</v>
      </c>
      <c r="D272" s="6" t="s">
        <v>47</v>
      </c>
      <c r="E272" s="6" t="str">
        <f aca="false">IFERROR(VLOOKUP(TRIM(SUBSTITUTE($D272,_xlfn.UNICHAR(160)," ")),CSDL_Virus!$A$2:$D$41,2,FALSE()),"Chưa phân loại")</f>
        <v>TwinShell</v>
      </c>
      <c r="F272" s="6" t="str">
        <f aca="false">IFERROR(VLOOKUP(TRIM(SUBSTITUTE($D272,_xlfn.UNICHAR(160)," ")),CSDL_Virus!$A$2:$D$41,3,FALSE()),"Chưa phân loại")</f>
        <v>Trojan</v>
      </c>
      <c r="G272" s="6" t="str">
        <f aca="false">IFERROR(VLOOKUP(TRIM(SUBSTITUTE($D272,_xlfn.UNICHAR(160)," ")),CSDL_Virus!$A$2:$D$41,4,FALSE()),"Chưa phân loại")</f>
        <v>Trung bình</v>
      </c>
    </row>
    <row r="273" customFormat="false" ht="15" hidden="false" customHeight="false" outlineLevel="0" collapsed="false">
      <c r="A273" s="7" t="n">
        <v>46320.0194444444</v>
      </c>
      <c r="B273" s="6" t="s">
        <v>141</v>
      </c>
      <c r="C273" s="6" t="s">
        <v>314</v>
      </c>
      <c r="D273" s="6" t="s">
        <v>103</v>
      </c>
      <c r="E273" s="6" t="str">
        <f aca="false">IFERROR(VLOOKUP(TRIM(SUBSTITUTE($D273,_xlfn.UNICHAR(160)," ")),CSDL_Virus!$A$2:$D$41,2,FALSE()),"Chưa phân loại")</f>
        <v>MirrorPage</v>
      </c>
      <c r="F273" s="6" t="str">
        <f aca="false">IFERROR(VLOOKUP(TRIM(SUBSTITUTE($D273,_xlfn.UNICHAR(160)," ")),CSDL_Virus!$A$2:$D$41,3,FALSE()),"Chưa phân loại")</f>
        <v>Phishing kit</v>
      </c>
      <c r="G273" s="6" t="str">
        <f aca="false">IFERROR(VLOOKUP(TRIM(SUBSTITUTE($D273,_xlfn.UNICHAR(160)," ")),CSDL_Virus!$A$2:$D$41,4,FALSE()),"Chưa phân loại")</f>
        <v>Trung bình</v>
      </c>
    </row>
    <row r="274" customFormat="false" ht="15" hidden="false" customHeight="false" outlineLevel="0" collapsed="false">
      <c r="A274" s="7" t="n">
        <v>46320.0340277778</v>
      </c>
      <c r="B274" s="6" t="s">
        <v>127</v>
      </c>
      <c r="C274" s="6" t="s">
        <v>383</v>
      </c>
      <c r="D274" s="6" t="s">
        <v>109</v>
      </c>
      <c r="E274" s="6" t="str">
        <f aca="false">IFERROR(VLOOKUP(TRIM(SUBSTITUTE($D274,_xlfn.UNICHAR(160)," ")),CSDL_Virus!$A$2:$D$41,2,FALSE()),"Chưa phân loại")</f>
        <v>RustyHinge</v>
      </c>
      <c r="F274" s="6" t="str">
        <f aca="false">IFERROR(VLOOKUP(TRIM(SUBSTITUTE($D274,_xlfn.UNICHAR(160)," ")),CSDL_Virus!$A$2:$D$41,3,FALSE()),"Chưa phân loại")</f>
        <v>Trojan</v>
      </c>
      <c r="G274" s="6" t="str">
        <f aca="false">IFERROR(VLOOKUP(TRIM(SUBSTITUTE($D274,_xlfn.UNICHAR(160)," ")),CSDL_Virus!$A$2:$D$41,4,FALSE()),"Chưa phân loại")</f>
        <v>Trung bình</v>
      </c>
    </row>
    <row r="275" customFormat="false" ht="15" hidden="false" customHeight="false" outlineLevel="0" collapsed="false">
      <c r="A275" s="7" t="n">
        <v>46320.0743055556</v>
      </c>
      <c r="B275" s="6" t="s">
        <v>117</v>
      </c>
      <c r="C275" s="6" t="s">
        <v>384</v>
      </c>
      <c r="D275" s="6" t="s">
        <v>77</v>
      </c>
      <c r="E275" s="6" t="str">
        <f aca="false">IFERROR(VLOOKUP(TRIM(SUBSTITUTE($D275,_xlfn.UNICHAR(160)," ")),CSDL_Virus!$A$2:$D$41,2,FALSE()),"Chưa phân loại")</f>
        <v>HiveNote</v>
      </c>
      <c r="F275" s="6" t="str">
        <f aca="false">IFERROR(VLOOKUP(TRIM(SUBSTITUTE($D275,_xlfn.UNICHAR(160)," ")),CSDL_Virus!$A$2:$D$41,3,FALSE()),"Chưa phân loại")</f>
        <v>Botnet</v>
      </c>
      <c r="G275" s="6" t="str">
        <f aca="false">IFERROR(VLOOKUP(TRIM(SUBSTITUTE($D275,_xlfn.UNICHAR(160)," ")),CSDL_Virus!$A$2:$D$41,4,FALSE()),"Chưa phân loại")</f>
        <v>Trung bình</v>
      </c>
    </row>
    <row r="276" customFormat="false" ht="15" hidden="false" customHeight="false" outlineLevel="0" collapsed="false">
      <c r="A276" s="7" t="n">
        <v>46320.1284722222</v>
      </c>
      <c r="B276" s="6" t="s">
        <v>141</v>
      </c>
      <c r="C276" s="6" t="s">
        <v>385</v>
      </c>
      <c r="D276" s="6" t="s">
        <v>386</v>
      </c>
      <c r="E276" s="6" t="str">
        <f aca="false">IFERROR(VLOOKUP(TRIM(SUBSTITUTE($D276,_xlfn.UNICHAR(160)," ")),CSDL_Virus!$A$2:$D$41,2,FALSE()),"Chưa phân loại")</f>
        <v>CrimsonLoop</v>
      </c>
      <c r="F276" s="6" t="str">
        <f aca="false">IFERROR(VLOOKUP(TRIM(SUBSTITUTE($D276,_xlfn.UNICHAR(160)," ")),CSDL_Virus!$A$2:$D$41,3,FALSE()),"Chưa phân loại")</f>
        <v>Ransomware</v>
      </c>
      <c r="G276" s="6" t="str">
        <f aca="false">IFERROR(VLOOKUP(TRIM(SUBSTITUTE($D276,_xlfn.UNICHAR(160)," ")),CSDL_Virus!$A$2:$D$41,4,FALSE()),"Chưa phân loại")</f>
        <v>Nghiêm trọng</v>
      </c>
    </row>
    <row r="277" customFormat="false" ht="15" hidden="false" customHeight="false" outlineLevel="0" collapsed="false">
      <c r="A277" s="7" t="n">
        <v>46320.2194444445</v>
      </c>
      <c r="B277" s="6" t="s">
        <v>117</v>
      </c>
      <c r="C277" s="6" t="s">
        <v>123</v>
      </c>
      <c r="D277" s="6" t="s">
        <v>387</v>
      </c>
      <c r="E277" s="6" t="str">
        <f aca="false">IFERROR(VLOOKUP(TRIM(SUBSTITUTE($D277,_xlfn.UNICHAR(160)," ")),CSDL_Virus!$A$2:$D$41,2,FALSE()),"Chưa phân loại")</f>
        <v>CrimsonLoop</v>
      </c>
      <c r="F277" s="6" t="str">
        <f aca="false">IFERROR(VLOOKUP(TRIM(SUBSTITUTE($D277,_xlfn.UNICHAR(160)," ")),CSDL_Virus!$A$2:$D$41,3,FALSE()),"Chưa phân loại")</f>
        <v>Ransomware</v>
      </c>
      <c r="G277" s="6" t="str">
        <f aca="false">IFERROR(VLOOKUP(TRIM(SUBSTITUTE($D277,_xlfn.UNICHAR(160)," ")),CSDL_Virus!$A$2:$D$41,4,FALSE()),"Chưa phân loại")</f>
        <v>Nghiêm trọng</v>
      </c>
    </row>
    <row r="278" customFormat="false" ht="15" hidden="false" customHeight="false" outlineLevel="0" collapsed="false">
      <c r="A278" s="7" t="n">
        <v>46320.2590277778</v>
      </c>
      <c r="B278" s="6" t="s">
        <v>124</v>
      </c>
      <c r="C278" s="6" t="s">
        <v>388</v>
      </c>
      <c r="D278" s="6" t="s">
        <v>49</v>
      </c>
      <c r="E278" s="6" t="str">
        <f aca="false">IFERROR(VLOOKUP(TRIM(SUBSTITUTE($D278,_xlfn.UNICHAR(160)," ")),CSDL_Virus!$A$2:$D$41,2,FALSE()),"Chưa phân loại")</f>
        <v>CopperVeil</v>
      </c>
      <c r="F278" s="6" t="str">
        <f aca="false">IFERROR(VLOOKUP(TRIM(SUBSTITUTE($D278,_xlfn.UNICHAR(160)," ")),CSDL_Virus!$A$2:$D$41,3,FALSE()),"Chưa phân loại")</f>
        <v>Trojan</v>
      </c>
      <c r="G278" s="6" t="str">
        <f aca="false">IFERROR(VLOOKUP(TRIM(SUBSTITUTE($D278,_xlfn.UNICHAR(160)," ")),CSDL_Virus!$A$2:$D$41,4,FALSE()),"Chưa phân loại")</f>
        <v>Cao</v>
      </c>
    </row>
    <row r="279" customFormat="false" ht="15" hidden="false" customHeight="false" outlineLevel="0" collapsed="false">
      <c r="A279" s="7" t="n">
        <v>46320.2604166667</v>
      </c>
      <c r="B279" s="6" t="s">
        <v>139</v>
      </c>
      <c r="C279" s="6" t="s">
        <v>389</v>
      </c>
      <c r="D279" s="6" t="s">
        <v>197</v>
      </c>
      <c r="E279" s="6" t="str">
        <f aca="false">IFERROR(VLOOKUP(TRIM(SUBSTITUTE($D279,_xlfn.UNICHAR(160)," ")),CSDL_Virus!$A$2:$D$41,2,FALSE()),"Chưa phân loại")</f>
        <v>Chưa phân loại</v>
      </c>
      <c r="F279" s="6" t="str">
        <f aca="false">IFERROR(VLOOKUP(TRIM(SUBSTITUTE($D279,_xlfn.UNICHAR(160)," ")),CSDL_Virus!$A$2:$D$41,3,FALSE()),"Chưa phân loại")</f>
        <v>Chưa phân loại</v>
      </c>
      <c r="G279" s="6" t="str">
        <f aca="false">IFERROR(VLOOKUP(TRIM(SUBSTITUTE($D279,_xlfn.UNICHAR(160)," ")),CSDL_Virus!$A$2:$D$41,4,FALSE()),"Chưa phân loại")</f>
        <v>Chưa phân loại</v>
      </c>
    </row>
    <row r="280" customFormat="false" ht="15" hidden="false" customHeight="false" outlineLevel="0" collapsed="false">
      <c r="A280" s="7" t="n">
        <v>46320.26875</v>
      </c>
      <c r="B280" s="6" t="s">
        <v>124</v>
      </c>
      <c r="C280" s="6" t="s">
        <v>328</v>
      </c>
      <c r="D280" s="6" t="s">
        <v>22</v>
      </c>
      <c r="E280" s="6" t="str">
        <f aca="false">IFERROR(VLOOKUP(TRIM(SUBSTITUTE($D280,_xlfn.UNICHAR(160)," ")),CSDL_Virus!$A$2:$D$41,2,FALSE()),"Chưa phân loại")</f>
        <v>LockBay</v>
      </c>
      <c r="F280" s="6" t="str">
        <f aca="false">IFERROR(VLOOKUP(TRIM(SUBSTITUTE($D280,_xlfn.UNICHAR(160)," ")),CSDL_Virus!$A$2:$D$41,3,FALSE()),"Chưa phân loại")</f>
        <v>Ransomware</v>
      </c>
      <c r="G280" s="6" t="str">
        <f aca="false">IFERROR(VLOOKUP(TRIM(SUBSTITUTE($D280,_xlfn.UNICHAR(160)," ")),CSDL_Virus!$A$2:$D$41,4,FALSE()),"Chưa phân loại")</f>
        <v>Nghiêm trọng</v>
      </c>
    </row>
    <row r="281" customFormat="false" ht="15" hidden="false" customHeight="false" outlineLevel="0" collapsed="false">
      <c r="A281" s="7" t="n">
        <v>46320.2986111111</v>
      </c>
      <c r="B281" s="6" t="s">
        <v>139</v>
      </c>
      <c r="C281" s="6" t="s">
        <v>227</v>
      </c>
      <c r="D281" s="6" t="s">
        <v>68</v>
      </c>
      <c r="E281" s="6" t="str">
        <f aca="false">IFERROR(VLOOKUP(TRIM(SUBSTITUTE($D281,_xlfn.UNICHAR(160)," ")),CSDL_Virus!$A$2:$D$41,2,FALSE()),"Chưa phân loại")</f>
        <v>LintWatch</v>
      </c>
      <c r="F281" s="6" t="str">
        <f aca="false">IFERROR(VLOOKUP(TRIM(SUBSTITUTE($D281,_xlfn.UNICHAR(160)," ")),CSDL_Virus!$A$2:$D$41,3,FALSE()),"Chưa phân loại")</f>
        <v>Spyware</v>
      </c>
      <c r="G281" s="6" t="str">
        <f aca="false">IFERROR(VLOOKUP(TRIM(SUBSTITUTE($D281,_xlfn.UNICHAR(160)," ")),CSDL_Virus!$A$2:$D$41,4,FALSE()),"Chưa phân loại")</f>
        <v>Thấp</v>
      </c>
    </row>
    <row r="282" customFormat="false" ht="15" hidden="false" customHeight="false" outlineLevel="0" collapsed="false">
      <c r="A282" s="7" t="n">
        <v>46320.3631944444</v>
      </c>
      <c r="B282" s="6" t="s">
        <v>141</v>
      </c>
      <c r="C282" s="6" t="s">
        <v>382</v>
      </c>
      <c r="D282" s="6" t="s">
        <v>103</v>
      </c>
      <c r="E282" s="6" t="str">
        <f aca="false">IFERROR(VLOOKUP(TRIM(SUBSTITUTE($D282,_xlfn.UNICHAR(160)," ")),CSDL_Virus!$A$2:$D$41,2,FALSE()),"Chưa phân loại")</f>
        <v>MirrorPage</v>
      </c>
      <c r="F282" s="6" t="str">
        <f aca="false">IFERROR(VLOOKUP(TRIM(SUBSTITUTE($D282,_xlfn.UNICHAR(160)," ")),CSDL_Virus!$A$2:$D$41,3,FALSE()),"Chưa phân loại")</f>
        <v>Phishing kit</v>
      </c>
      <c r="G282" s="6" t="str">
        <f aca="false">IFERROR(VLOOKUP(TRIM(SUBSTITUTE($D282,_xlfn.UNICHAR(160)," ")),CSDL_Virus!$A$2:$D$41,4,FALSE()),"Chưa phân loại")</f>
        <v>Trung bình</v>
      </c>
    </row>
    <row r="283" customFormat="false" ht="15" hidden="false" customHeight="false" outlineLevel="0" collapsed="false">
      <c r="A283" s="7" t="n">
        <v>46320.3659722222</v>
      </c>
      <c r="B283" s="6" t="s">
        <v>124</v>
      </c>
      <c r="C283" s="6" t="s">
        <v>390</v>
      </c>
      <c r="D283" s="6" t="s">
        <v>160</v>
      </c>
      <c r="E283" s="6" t="str">
        <f aca="false">IFERROR(VLOOKUP(TRIM(SUBSTITUTE($D283,_xlfn.UNICHAR(160)," ")),CSDL_Virus!$A$2:$D$41,2,FALSE()),"Chưa phân loại")</f>
        <v>AshCrypt</v>
      </c>
      <c r="F283" s="6" t="str">
        <f aca="false">IFERROR(VLOOKUP(TRIM(SUBSTITUTE($D283,_xlfn.UNICHAR(160)," ")),CSDL_Virus!$A$2:$D$41,3,FALSE()),"Chưa phân loại")</f>
        <v>Ransomware</v>
      </c>
      <c r="G283" s="6" t="str">
        <f aca="false">IFERROR(VLOOKUP(TRIM(SUBSTITUTE($D283,_xlfn.UNICHAR(160)," ")),CSDL_Virus!$A$2:$D$41,4,FALSE()),"Chưa phân loại")</f>
        <v>Cao</v>
      </c>
    </row>
    <row r="284" customFormat="false" ht="15" hidden="false" customHeight="false" outlineLevel="0" collapsed="false">
      <c r="A284" s="7" t="n">
        <v>46320.4229166667</v>
      </c>
      <c r="B284" s="6" t="s">
        <v>119</v>
      </c>
      <c r="C284" s="6" t="s">
        <v>253</v>
      </c>
      <c r="D284" s="6" t="s">
        <v>109</v>
      </c>
      <c r="E284" s="6" t="str">
        <f aca="false">IFERROR(VLOOKUP(TRIM(SUBSTITUTE($D284,_xlfn.UNICHAR(160)," ")),CSDL_Virus!$A$2:$D$41,2,FALSE()),"Chưa phân loại")</f>
        <v>RustyHinge</v>
      </c>
      <c r="F284" s="6" t="str">
        <f aca="false">IFERROR(VLOOKUP(TRIM(SUBSTITUTE($D284,_xlfn.UNICHAR(160)," ")),CSDL_Virus!$A$2:$D$41,3,FALSE()),"Chưa phân loại")</f>
        <v>Trojan</v>
      </c>
      <c r="G284" s="6" t="str">
        <f aca="false">IFERROR(VLOOKUP(TRIM(SUBSTITUTE($D284,_xlfn.UNICHAR(160)," ")),CSDL_Virus!$A$2:$D$41,4,FALSE()),"Chưa phân loại")</f>
        <v>Trung bình</v>
      </c>
    </row>
    <row r="285" customFormat="false" ht="15" hidden="false" customHeight="false" outlineLevel="0" collapsed="false">
      <c r="A285" s="7" t="n">
        <v>46320.4472222222</v>
      </c>
      <c r="B285" s="6" t="s">
        <v>117</v>
      </c>
      <c r="C285" s="6" t="s">
        <v>376</v>
      </c>
      <c r="D285" s="6" t="s">
        <v>81</v>
      </c>
      <c r="E285" s="6" t="str">
        <f aca="false">IFERROR(VLOOKUP(TRIM(SUBSTITUTE($D285,_xlfn.UNICHAR(160)," ")),CSDL_Virus!$A$2:$D$41,2,FALSE()),"Chưa phân loại")</f>
        <v>StormHerd</v>
      </c>
      <c r="F285" s="6" t="str">
        <f aca="false">IFERROR(VLOOKUP(TRIM(SUBSTITUTE($D285,_xlfn.UNICHAR(160)," ")),CSDL_Virus!$A$2:$D$41,3,FALSE()),"Chưa phân loại")</f>
        <v>Botnet</v>
      </c>
      <c r="G285" s="6" t="str">
        <f aca="false">IFERROR(VLOOKUP(TRIM(SUBSTITUTE($D285,_xlfn.UNICHAR(160)," ")),CSDL_Virus!$A$2:$D$41,4,FALSE()),"Chưa phân loại")</f>
        <v>Trung bình</v>
      </c>
    </row>
    <row r="286" customFormat="false" ht="15" hidden="false" customHeight="false" outlineLevel="0" collapsed="false">
      <c r="A286" s="7" t="n">
        <v>46320.4875</v>
      </c>
      <c r="B286" s="6" t="s">
        <v>119</v>
      </c>
      <c r="C286" s="6" t="s">
        <v>288</v>
      </c>
      <c r="D286" s="6" t="s">
        <v>42</v>
      </c>
      <c r="E286" s="6" t="str">
        <f aca="false">IFERROR(VLOOKUP(TRIM(SUBSTITUTE($D286,_xlfn.UNICHAR(160)," ")),CSDL_Virus!$A$2:$D$41,2,FALSE()),"Chưa phân loại")</f>
        <v>PaleMask</v>
      </c>
      <c r="F286" s="6" t="str">
        <f aca="false">IFERROR(VLOOKUP(TRIM(SUBSTITUTE($D286,_xlfn.UNICHAR(160)," ")),CSDL_Virus!$A$2:$D$41,3,FALSE()),"Chưa phân loại")</f>
        <v>Trojan</v>
      </c>
      <c r="G286" s="6" t="str">
        <f aca="false">IFERROR(VLOOKUP(TRIM(SUBSTITUTE($D286,_xlfn.UNICHAR(160)," ")),CSDL_Virus!$A$2:$D$41,4,FALSE()),"Chưa phân loại")</f>
        <v>Trung bình</v>
      </c>
    </row>
    <row r="287" customFormat="false" ht="15" hidden="false" customHeight="false" outlineLevel="0" collapsed="false">
      <c r="A287" s="7" t="n">
        <v>46320.5493055556</v>
      </c>
      <c r="B287" s="6" t="s">
        <v>139</v>
      </c>
      <c r="C287" s="6" t="s">
        <v>391</v>
      </c>
      <c r="D287" s="6" t="s">
        <v>40</v>
      </c>
      <c r="E287" s="6" t="str">
        <f aca="false">IFERROR(VLOOKUP(TRIM(SUBSTITUTE($D287,_xlfn.UNICHAR(160)," ")),CSDL_Virus!$A$2:$D$41,2,FALSE()),"Chưa phân loại")</f>
        <v>HollowDoor</v>
      </c>
      <c r="F287" s="6" t="str">
        <f aca="false">IFERROR(VLOOKUP(TRIM(SUBSTITUTE($D287,_xlfn.UNICHAR(160)," ")),CSDL_Virus!$A$2:$D$41,3,FALSE()),"Chưa phân loại")</f>
        <v>Trojan</v>
      </c>
      <c r="G287" s="6" t="str">
        <f aca="false">IFERROR(VLOOKUP(TRIM(SUBSTITUTE($D287,_xlfn.UNICHAR(160)," ")),CSDL_Virus!$A$2:$D$41,4,FALSE()),"Chưa phân loại")</f>
        <v>Cao</v>
      </c>
    </row>
    <row r="288" customFormat="false" ht="15" hidden="false" customHeight="false" outlineLevel="0" collapsed="false">
      <c r="A288" s="7" t="n">
        <v>46320.5729166667</v>
      </c>
      <c r="B288" s="6" t="s">
        <v>127</v>
      </c>
      <c r="C288" s="6" t="s">
        <v>392</v>
      </c>
      <c r="D288" s="6" t="s">
        <v>88</v>
      </c>
      <c r="E288" s="6" t="str">
        <f aca="false">IFERROR(VLOOKUP(TRIM(SUBSTITUTE($D288,_xlfn.UNICHAR(160)," ")),CSDL_Virus!$A$2:$D$41,2,FALSE()),"Chưa phân loại")</f>
        <v>HeatLeech</v>
      </c>
      <c r="F288" s="6" t="str">
        <f aca="false">IFERROR(VLOOKUP(TRIM(SUBSTITUTE($D288,_xlfn.UNICHAR(160)," ")),CSDL_Virus!$A$2:$D$41,3,FALSE()),"Chưa phân loại")</f>
        <v>Cryptominer</v>
      </c>
      <c r="G288" s="6" t="str">
        <f aca="false">IFERROR(VLOOKUP(TRIM(SUBSTITUTE($D288,_xlfn.UNICHAR(160)," ")),CSDL_Virus!$A$2:$D$41,4,FALSE()),"Chưa phân loại")</f>
        <v>Trung bình</v>
      </c>
    </row>
    <row r="289" customFormat="false" ht="15" hidden="false" customHeight="false" outlineLevel="0" collapsed="false">
      <c r="A289" s="7" t="n">
        <v>46320.6159722222</v>
      </c>
      <c r="B289" s="6" t="s">
        <v>172</v>
      </c>
      <c r="C289" s="6" t="s">
        <v>393</v>
      </c>
      <c r="D289" s="6" t="s">
        <v>103</v>
      </c>
      <c r="E289" s="6" t="str">
        <f aca="false">IFERROR(VLOOKUP(TRIM(SUBSTITUTE($D289,_xlfn.UNICHAR(160)," ")),CSDL_Virus!$A$2:$D$41,2,FALSE()),"Chưa phân loại")</f>
        <v>MirrorPage</v>
      </c>
      <c r="F289" s="6" t="str">
        <f aca="false">IFERROR(VLOOKUP(TRIM(SUBSTITUTE($D289,_xlfn.UNICHAR(160)," ")),CSDL_Virus!$A$2:$D$41,3,FALSE()),"Chưa phân loại")</f>
        <v>Phishing kit</v>
      </c>
      <c r="G289" s="6" t="str">
        <f aca="false">IFERROR(VLOOKUP(TRIM(SUBSTITUTE($D289,_xlfn.UNICHAR(160)," ")),CSDL_Virus!$A$2:$D$41,4,FALSE()),"Chưa phân loại")</f>
        <v>Trung bình</v>
      </c>
    </row>
    <row r="290" customFormat="false" ht="15" hidden="false" customHeight="false" outlineLevel="0" collapsed="false">
      <c r="A290" s="7" t="n">
        <v>46320.6444444444</v>
      </c>
      <c r="B290" s="6" t="s">
        <v>117</v>
      </c>
      <c r="C290" s="6" t="s">
        <v>332</v>
      </c>
      <c r="D290" s="6" t="s">
        <v>282</v>
      </c>
      <c r="E290" s="6" t="str">
        <f aca="false">IFERROR(VLOOKUP(TRIM(SUBSTITUTE($D290,_xlfn.UNICHAR(160)," ")),CSDL_Virus!$A$2:$D$41,2,FALSE()),"Chưa phân loại")</f>
        <v>StormHerd</v>
      </c>
      <c r="F290" s="6" t="str">
        <f aca="false">IFERROR(VLOOKUP(TRIM(SUBSTITUTE($D290,_xlfn.UNICHAR(160)," ")),CSDL_Virus!$A$2:$D$41,3,FALSE()),"Chưa phân loại")</f>
        <v>Botnet</v>
      </c>
      <c r="G290" s="6" t="str">
        <f aca="false">IFERROR(VLOOKUP(TRIM(SUBSTITUTE($D290,_xlfn.UNICHAR(160)," ")),CSDL_Virus!$A$2:$D$41,4,FALSE()),"Chưa phân loại")</f>
        <v>Trung bình</v>
      </c>
    </row>
    <row r="291" customFormat="false" ht="15" hidden="false" customHeight="false" outlineLevel="0" collapsed="false">
      <c r="A291" s="7" t="n">
        <v>46320.6819444444</v>
      </c>
      <c r="B291" s="6" t="s">
        <v>172</v>
      </c>
      <c r="C291" s="6" t="s">
        <v>145</v>
      </c>
      <c r="D291" s="6" t="s">
        <v>197</v>
      </c>
      <c r="E291" s="6" t="str">
        <f aca="false">IFERROR(VLOOKUP(TRIM(SUBSTITUTE($D291,_xlfn.UNICHAR(160)," ")),CSDL_Virus!$A$2:$D$41,2,FALSE()),"Chưa phân loại")</f>
        <v>Chưa phân loại</v>
      </c>
      <c r="F291" s="6" t="str">
        <f aca="false">IFERROR(VLOOKUP(TRIM(SUBSTITUTE($D291,_xlfn.UNICHAR(160)," ")),CSDL_Virus!$A$2:$D$41,3,FALSE()),"Chưa phân loại")</f>
        <v>Chưa phân loại</v>
      </c>
      <c r="G291" s="6" t="str">
        <f aca="false">IFERROR(VLOOKUP(TRIM(SUBSTITUTE($D291,_xlfn.UNICHAR(160)," ")),CSDL_Virus!$A$2:$D$41,4,FALSE()),"Chưa phân loại")</f>
        <v>Chưa phân loại</v>
      </c>
    </row>
    <row r="292" customFormat="false" ht="15" hidden="false" customHeight="false" outlineLevel="0" collapsed="false">
      <c r="A292" s="7" t="n">
        <v>46320.6819444444</v>
      </c>
      <c r="B292" s="6" t="s">
        <v>132</v>
      </c>
      <c r="C292" s="6" t="s">
        <v>376</v>
      </c>
      <c r="D292" s="6" t="s">
        <v>94</v>
      </c>
      <c r="E292" s="6" t="str">
        <f aca="false">IFERROR(VLOOKUP(TRIM(SUBSTITUTE($D292,_xlfn.UNICHAR(160)," ")),CSDL_Virus!$A$2:$D$41,2,FALSE()),"Chưa phân loại")</f>
        <v>AmberRig</v>
      </c>
      <c r="F292" s="6" t="str">
        <f aca="false">IFERROR(VLOOKUP(TRIM(SUBSTITUTE($D292,_xlfn.UNICHAR(160)," ")),CSDL_Virus!$A$2:$D$41,3,FALSE()),"Chưa phân loại")</f>
        <v>Cryptominer</v>
      </c>
      <c r="G292" s="6" t="str">
        <f aca="false">IFERROR(VLOOKUP(TRIM(SUBSTITUTE($D292,_xlfn.UNICHAR(160)," ")),CSDL_Virus!$A$2:$D$41,4,FALSE()),"Chưa phân loại")</f>
        <v>Thấp</v>
      </c>
    </row>
    <row r="293" customFormat="false" ht="15" hidden="false" customHeight="false" outlineLevel="0" collapsed="false">
      <c r="A293" s="7" t="n">
        <v>46320.6986111111</v>
      </c>
      <c r="B293" s="6" t="s">
        <v>119</v>
      </c>
      <c r="C293" s="6" t="s">
        <v>394</v>
      </c>
      <c r="D293" s="6" t="s">
        <v>81</v>
      </c>
      <c r="E293" s="6" t="str">
        <f aca="false">IFERROR(VLOOKUP(TRIM(SUBSTITUTE($D293,_xlfn.UNICHAR(160)," ")),CSDL_Virus!$A$2:$D$41,2,FALSE()),"Chưa phân loại")</f>
        <v>StormHerd</v>
      </c>
      <c r="F293" s="6" t="str">
        <f aca="false">IFERROR(VLOOKUP(TRIM(SUBSTITUTE($D293,_xlfn.UNICHAR(160)," ")),CSDL_Virus!$A$2:$D$41,3,FALSE()),"Chưa phân loại")</f>
        <v>Botnet</v>
      </c>
      <c r="G293" s="6" t="str">
        <f aca="false">IFERROR(VLOOKUP(TRIM(SUBSTITUTE($D293,_xlfn.UNICHAR(160)," ")),CSDL_Virus!$A$2:$D$41,4,FALSE()),"Chưa phân loại")</f>
        <v>Trung bình</v>
      </c>
    </row>
    <row r="294" customFormat="false" ht="15" hidden="false" customHeight="false" outlineLevel="0" collapsed="false">
      <c r="A294" s="7" t="n">
        <v>46320.7333333333</v>
      </c>
      <c r="B294" s="6" t="s">
        <v>132</v>
      </c>
      <c r="C294" s="6" t="s">
        <v>395</v>
      </c>
      <c r="D294" s="6" t="s">
        <v>96</v>
      </c>
      <c r="E294" s="6" t="str">
        <f aca="false">IFERROR(VLOOKUP(TRIM(SUBSTITUTE($D294,_xlfn.UNICHAR(160)," ")),CSDL_Virus!$A$2:$D$41,2,FALSE()),"Chưa phân loại")</f>
        <v>BaitCrate</v>
      </c>
      <c r="F294" s="6" t="str">
        <f aca="false">IFERROR(VLOOKUP(TRIM(SUBSTITUTE($D294,_xlfn.UNICHAR(160)," ")),CSDL_Virus!$A$2:$D$41,3,FALSE()),"Chưa phân loại")</f>
        <v>Phishing kit</v>
      </c>
      <c r="G294" s="6" t="str">
        <f aca="false">IFERROR(VLOOKUP(TRIM(SUBSTITUTE($D294,_xlfn.UNICHAR(160)," ")),CSDL_Virus!$A$2:$D$41,4,FALSE()),"Chưa phân loại")</f>
        <v>Cao</v>
      </c>
    </row>
    <row r="295" customFormat="false" ht="15" hidden="false" customHeight="false" outlineLevel="0" collapsed="false">
      <c r="A295" s="7" t="n">
        <v>46320.8548611111</v>
      </c>
      <c r="B295" s="6" t="s">
        <v>124</v>
      </c>
      <c r="C295" s="6" t="s">
        <v>340</v>
      </c>
      <c r="D295" s="6" t="s">
        <v>30</v>
      </c>
      <c r="E295" s="6" t="str">
        <f aca="false">IFERROR(VLOOKUP(TRIM(SUBSTITUTE($D295,_xlfn.UNICHAR(160)," ")),CSDL_Virus!$A$2:$D$41,2,FALSE()),"Chưa phân loại")</f>
        <v>AshCrypt</v>
      </c>
      <c r="F295" s="6" t="str">
        <f aca="false">IFERROR(VLOOKUP(TRIM(SUBSTITUTE($D295,_xlfn.UNICHAR(160)," ")),CSDL_Virus!$A$2:$D$41,3,FALSE()),"Chưa phân loại")</f>
        <v>Ransomware</v>
      </c>
      <c r="G295" s="6" t="str">
        <f aca="false">IFERROR(VLOOKUP(TRIM(SUBSTITUTE($D295,_xlfn.UNICHAR(160)," ")),CSDL_Virus!$A$2:$D$41,4,FALSE()),"Chưa phân loại")</f>
        <v>Cao</v>
      </c>
    </row>
    <row r="296" customFormat="false" ht="15" hidden="false" customHeight="false" outlineLevel="0" collapsed="false">
      <c r="A296" s="7" t="n">
        <v>46320.8881944444</v>
      </c>
      <c r="B296" s="6" t="s">
        <v>119</v>
      </c>
      <c r="C296" s="6" t="s">
        <v>396</v>
      </c>
      <c r="D296" s="6" t="s">
        <v>30</v>
      </c>
      <c r="E296" s="6" t="str">
        <f aca="false">IFERROR(VLOOKUP(TRIM(SUBSTITUTE($D296,_xlfn.UNICHAR(160)," ")),CSDL_Virus!$A$2:$D$41,2,FALSE()),"Chưa phân loại")</f>
        <v>AshCrypt</v>
      </c>
      <c r="F296" s="6" t="str">
        <f aca="false">IFERROR(VLOOKUP(TRIM(SUBSTITUTE($D296,_xlfn.UNICHAR(160)," ")),CSDL_Virus!$A$2:$D$41,3,FALSE()),"Chưa phân loại")</f>
        <v>Ransomware</v>
      </c>
      <c r="G296" s="6" t="str">
        <f aca="false">IFERROR(VLOOKUP(TRIM(SUBSTITUTE($D296,_xlfn.UNICHAR(160)," ")),CSDL_Virus!$A$2:$D$41,4,FALSE()),"Chưa phân loại")</f>
        <v>Cao</v>
      </c>
    </row>
    <row r="297" customFormat="false" ht="15" hidden="false" customHeight="false" outlineLevel="0" collapsed="false">
      <c r="A297" s="7" t="n">
        <v>46320.8909722222</v>
      </c>
      <c r="B297" s="6" t="s">
        <v>132</v>
      </c>
      <c r="C297" s="6" t="s">
        <v>334</v>
      </c>
      <c r="D297" s="6" t="s">
        <v>397</v>
      </c>
      <c r="E297" s="6" t="str">
        <f aca="false">IFERROR(VLOOKUP(TRIM(SUBSTITUTE($D297,_xlfn.UNICHAR(160)," ")),CSDL_Virus!$A$2:$D$41,2,FALSE()),"Chưa phân loại")</f>
        <v>GrimSeal</v>
      </c>
      <c r="F297" s="6" t="str">
        <f aca="false">IFERROR(VLOOKUP(TRIM(SUBSTITUTE($D297,_xlfn.UNICHAR(160)," ")),CSDL_Virus!$A$2:$D$41,3,FALSE()),"Chưa phân loại")</f>
        <v>Ransomware</v>
      </c>
      <c r="G297" s="6" t="str">
        <f aca="false">IFERROR(VLOOKUP(TRIM(SUBSTITUTE($D297,_xlfn.UNICHAR(160)," ")),CSDL_Virus!$A$2:$D$41,4,FALSE()),"Chưa phân loại")</f>
        <v>Cao</v>
      </c>
    </row>
    <row r="298" customFormat="false" ht="15" hidden="false" customHeight="false" outlineLevel="0" collapsed="false">
      <c r="A298" s="7" t="n">
        <v>46320.9208333333</v>
      </c>
      <c r="B298" s="6" t="s">
        <v>132</v>
      </c>
      <c r="C298" s="6" t="s">
        <v>398</v>
      </c>
      <c r="D298" s="6" t="s">
        <v>40</v>
      </c>
      <c r="E298" s="6" t="str">
        <f aca="false">IFERROR(VLOOKUP(TRIM(SUBSTITUTE($D298,_xlfn.UNICHAR(160)," ")),CSDL_Virus!$A$2:$D$41,2,FALSE()),"Chưa phân loại")</f>
        <v>HollowDoor</v>
      </c>
      <c r="F298" s="6" t="str">
        <f aca="false">IFERROR(VLOOKUP(TRIM(SUBSTITUTE($D298,_xlfn.UNICHAR(160)," ")),CSDL_Virus!$A$2:$D$41,3,FALSE()),"Chưa phân loại")</f>
        <v>Trojan</v>
      </c>
      <c r="G298" s="6" t="str">
        <f aca="false">IFERROR(VLOOKUP(TRIM(SUBSTITUTE($D298,_xlfn.UNICHAR(160)," ")),CSDL_Virus!$A$2:$D$41,4,FALSE()),"Chưa phân loại")</f>
        <v>Cao</v>
      </c>
    </row>
    <row r="299" customFormat="false" ht="15" hidden="false" customHeight="false" outlineLevel="0" collapsed="false">
      <c r="A299" s="7" t="n">
        <v>46320.9708333333</v>
      </c>
      <c r="B299" s="6" t="s">
        <v>141</v>
      </c>
      <c r="C299" s="6" t="s">
        <v>294</v>
      </c>
      <c r="D299" s="6" t="s">
        <v>399</v>
      </c>
      <c r="E299" s="6" t="str">
        <f aca="false">IFERROR(VLOOKUP(TRIM(SUBSTITUTE($D299,_xlfn.UNICHAR(160)," ")),CSDL_Virus!$A$2:$D$41,2,FALSE()),"Chưa phân loại")</f>
        <v>AshMirror</v>
      </c>
      <c r="F299" s="6" t="str">
        <f aca="false">IFERROR(VLOOKUP(TRIM(SUBSTITUTE($D299,_xlfn.UNICHAR(160)," ")),CSDL_Virus!$A$2:$D$41,3,FALSE()),"Chưa phân loại")</f>
        <v>Spyware</v>
      </c>
      <c r="G299" s="6" t="str">
        <f aca="false">IFERROR(VLOOKUP(TRIM(SUBSTITUTE($D299,_xlfn.UNICHAR(160)," ")),CSDL_Virus!$A$2:$D$41,4,FALSE()),"Chưa phân loại")</f>
        <v>Cao</v>
      </c>
    </row>
    <row r="300" customFormat="false" ht="15" hidden="false" customHeight="false" outlineLevel="0" collapsed="false">
      <c r="A300" s="7" t="n">
        <v>46320.9784722222</v>
      </c>
      <c r="B300" s="6" t="s">
        <v>141</v>
      </c>
      <c r="C300" s="6" t="s">
        <v>316</v>
      </c>
      <c r="D300" s="6" t="s">
        <v>49</v>
      </c>
      <c r="E300" s="6" t="str">
        <f aca="false">IFERROR(VLOOKUP(TRIM(SUBSTITUTE($D300,_xlfn.UNICHAR(160)," ")),CSDL_Virus!$A$2:$D$41,2,FALSE()),"Chưa phân loại")</f>
        <v>CopperVeil</v>
      </c>
      <c r="F300" s="6" t="str">
        <f aca="false">IFERROR(VLOOKUP(TRIM(SUBSTITUTE($D300,_xlfn.UNICHAR(160)," ")),CSDL_Virus!$A$2:$D$41,3,FALSE()),"Chưa phân loại")</f>
        <v>Trojan</v>
      </c>
      <c r="G300" s="6" t="str">
        <f aca="false">IFERROR(VLOOKUP(TRIM(SUBSTITUTE($D300,_xlfn.UNICHAR(160)," ")),CSDL_Virus!$A$2:$D$41,4,FALSE()),"Chưa phân loại")</f>
        <v>Cao</v>
      </c>
    </row>
    <row r="301" customFormat="false" ht="15" hidden="false" customHeight="false" outlineLevel="0" collapsed="false">
      <c r="A301" s="7" t="n">
        <v>46320.9833333333</v>
      </c>
      <c r="B301" s="6" t="s">
        <v>141</v>
      </c>
      <c r="C301" s="6" t="s">
        <v>310</v>
      </c>
      <c r="D301" s="6" t="s">
        <v>105</v>
      </c>
      <c r="E301" s="6" t="str">
        <f aca="false">IFERROR(VLOOKUP(TRIM(SUBSTITUTE($D301,_xlfn.UNICHAR(160)," ")),CSDL_Virus!$A$2:$D$41,2,FALSE()),"Chưa phân loại")</f>
        <v>SilkLure</v>
      </c>
      <c r="F301" s="6" t="str">
        <f aca="false">IFERROR(VLOOKUP(TRIM(SUBSTITUTE($D301,_xlfn.UNICHAR(160)," ")),CSDL_Virus!$A$2:$D$41,3,FALSE()),"Chưa phân loại")</f>
        <v>Phishing kit</v>
      </c>
      <c r="G301" s="6" t="str">
        <f aca="false">IFERROR(VLOOKUP(TRIM(SUBSTITUTE($D301,_xlfn.UNICHAR(160)," ")),CSDL_Virus!$A$2:$D$41,4,FALSE()),"Chưa phân loại")</f>
        <v>Thấp</v>
      </c>
    </row>
  </sheetData>
  <autoFilter ref="A1:G301"/>
  <conditionalFormatting sqref="E2:G301">
    <cfRule type="cellIs" priority="2" operator="equal" aboveAverage="0" equalAverage="0" bottom="0" percent="0" rank="0" text="" dxfId="5">
      <formula>"Chưa phân loại"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5" t="s">
        <v>400</v>
      </c>
      <c r="B1" s="5" t="s">
        <v>401</v>
      </c>
      <c r="C1" s="5" t="s">
        <v>402</v>
      </c>
      <c r="E1" s="8" t="s">
        <v>21</v>
      </c>
      <c r="F1" s="8" t="s">
        <v>401</v>
      </c>
      <c r="G1" s="8" t="s">
        <v>402</v>
      </c>
    </row>
    <row r="2" customFormat="false" ht="15" hidden="false" customHeight="false" outlineLevel="0" collapsed="false">
      <c r="A2" s="9" t="s">
        <v>24</v>
      </c>
      <c r="B2" s="9" t="n">
        <f aca="false">COUNTIF(NhatKyHeThong!$F$2:$F$301,A2)</f>
        <v>60</v>
      </c>
      <c r="C2" s="10" t="n">
        <f aca="false">B2/$B$10</f>
        <v>0.2</v>
      </c>
      <c r="D2" s="9"/>
      <c r="E2" s="9" t="s">
        <v>25</v>
      </c>
      <c r="F2" s="9" t="n">
        <f aca="false">COUNTIF(NhatKyHeThong!$G$2:$G$301,E2)</f>
        <v>38</v>
      </c>
      <c r="G2" s="10" t="n">
        <f aca="false">F2/$F$7</f>
        <v>0.126666666666667</v>
      </c>
    </row>
    <row r="3" customFormat="false" ht="15" hidden="false" customHeight="false" outlineLevel="0" collapsed="false">
      <c r="A3" s="9" t="s">
        <v>39</v>
      </c>
      <c r="B3" s="9" t="n">
        <f aca="false">COUNTIF(NhatKyHeThong!$F$2:$F$301,A3)</f>
        <v>51</v>
      </c>
      <c r="C3" s="10" t="n">
        <f aca="false">B3/$B$10</f>
        <v>0.17</v>
      </c>
      <c r="D3" s="9"/>
      <c r="E3" s="9" t="s">
        <v>32</v>
      </c>
      <c r="F3" s="9" t="n">
        <f aca="false">COUNTIF(NhatKyHeThong!$G$2:$G$301,E3)</f>
        <v>140</v>
      </c>
      <c r="G3" s="10" t="n">
        <f aca="false">F3/$F$7</f>
        <v>0.466666666666667</v>
      </c>
    </row>
    <row r="4" customFormat="false" ht="15" hidden="false" customHeight="false" outlineLevel="0" collapsed="false">
      <c r="A4" s="9" t="s">
        <v>53</v>
      </c>
      <c r="B4" s="9" t="n">
        <f aca="false">COUNTIF(NhatKyHeThong!$F$2:$F$301,A4)</f>
        <v>48</v>
      </c>
      <c r="C4" s="10" t="n">
        <f aca="false">B4/$B$10</f>
        <v>0.16</v>
      </c>
      <c r="D4" s="9"/>
      <c r="E4" s="9" t="s">
        <v>44</v>
      </c>
      <c r="F4" s="9" t="n">
        <f aca="false">COUNTIF(NhatKyHeThong!$G$2:$G$301,E4)</f>
        <v>70</v>
      </c>
      <c r="G4" s="10" t="n">
        <f aca="false">F4/$F$7</f>
        <v>0.233333333333333</v>
      </c>
    </row>
    <row r="5" customFormat="false" ht="15" hidden="false" customHeight="false" outlineLevel="0" collapsed="false">
      <c r="A5" s="9" t="s">
        <v>65</v>
      </c>
      <c r="B5" s="9" t="n">
        <f aca="false">COUNTIF(NhatKyHeThong!$F$2:$F$301,A5)</f>
        <v>33</v>
      </c>
      <c r="C5" s="10" t="n">
        <f aca="false">B5/$B$10</f>
        <v>0.11</v>
      </c>
      <c r="D5" s="9"/>
      <c r="E5" s="9" t="s">
        <v>62</v>
      </c>
      <c r="F5" s="9" t="n">
        <f aca="false">COUNTIF(NhatKyHeThong!$G$2:$G$301,E5)</f>
        <v>44</v>
      </c>
      <c r="G5" s="10" t="n">
        <f aca="false">F5/$F$7</f>
        <v>0.146666666666667</v>
      </c>
    </row>
    <row r="6" customFormat="false" ht="15" hidden="false" customHeight="false" outlineLevel="0" collapsed="false">
      <c r="A6" s="9" t="s">
        <v>76</v>
      </c>
      <c r="B6" s="9" t="n">
        <f aca="false">COUNTIF(NhatKyHeThong!$F$2:$F$301,A6)</f>
        <v>36</v>
      </c>
      <c r="C6" s="10" t="n">
        <f aca="false">B6/$B$10</f>
        <v>0.12</v>
      </c>
      <c r="D6" s="9"/>
      <c r="E6" s="9" t="s">
        <v>403</v>
      </c>
      <c r="F6" s="9" t="n">
        <f aca="false">COUNTIF(NhatKyHeThong!$G$2:$G$301,E6)</f>
        <v>8</v>
      </c>
      <c r="G6" s="10" t="n">
        <f aca="false">F6/$F$7</f>
        <v>0.0266666666666667</v>
      </c>
    </row>
    <row r="7" customFormat="false" ht="15" hidden="false" customHeight="false" outlineLevel="0" collapsed="false">
      <c r="A7" s="9" t="s">
        <v>87</v>
      </c>
      <c r="B7" s="9" t="n">
        <f aca="false">COUNTIF(NhatKyHeThong!$F$2:$F$301,A7)</f>
        <v>28</v>
      </c>
      <c r="C7" s="10" t="n">
        <f aca="false">B7/$B$10</f>
        <v>0.0933333333333333</v>
      </c>
      <c r="D7" s="9"/>
      <c r="E7" s="11" t="s">
        <v>404</v>
      </c>
      <c r="F7" s="11" t="n">
        <f aca="false">SUM(F2:F6)</f>
        <v>300</v>
      </c>
      <c r="G7" s="12" t="n">
        <f aca="false">SUM(G2:G6)</f>
        <v>1</v>
      </c>
    </row>
    <row r="8" customFormat="false" ht="15" hidden="false" customHeight="false" outlineLevel="0" collapsed="false">
      <c r="A8" s="9" t="s">
        <v>98</v>
      </c>
      <c r="B8" s="9" t="n">
        <f aca="false">COUNTIF(NhatKyHeThong!$F$2:$F$301,A8)</f>
        <v>36</v>
      </c>
      <c r="C8" s="10" t="n">
        <f aca="false">B8/$B$10</f>
        <v>0.12</v>
      </c>
      <c r="D8" s="9"/>
      <c r="E8" s="9"/>
      <c r="F8" s="9"/>
      <c r="G8" s="9"/>
    </row>
    <row r="9" customFormat="false" ht="15" hidden="false" customHeight="false" outlineLevel="0" collapsed="false">
      <c r="A9" s="9" t="s">
        <v>403</v>
      </c>
      <c r="B9" s="9" t="n">
        <f aca="false">COUNTIF(NhatKyHeThong!$F$2:$F$301,A9)</f>
        <v>8</v>
      </c>
      <c r="C9" s="10" t="n">
        <f aca="false">B9/$B$10</f>
        <v>0.0266666666666667</v>
      </c>
      <c r="D9" s="9"/>
      <c r="E9" s="9"/>
      <c r="F9" s="9"/>
      <c r="G9" s="9"/>
    </row>
    <row r="10" customFormat="false" ht="15" hidden="false" customHeight="false" outlineLevel="0" collapsed="false">
      <c r="A10" s="11" t="s">
        <v>404</v>
      </c>
      <c r="B10" s="11" t="n">
        <f aca="false">SUM(B2:B9)</f>
        <v>300</v>
      </c>
      <c r="C10" s="12" t="n">
        <f aca="false">SUM(C2:C9)</f>
        <v>1</v>
      </c>
      <c r="D10" s="11"/>
      <c r="E10" s="11"/>
      <c r="F10" s="11"/>
      <c r="G1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2026-10-26T11:30:46Z</dcterms:created>
  <dc:creator>openpyxl</dc:creator>
  <dc:description/>
  <dc:language>en-US</dc:language>
  <cp:lastModifiedBy/>
  <dcterms:modified xsi:type="dcterms:W3CDTF">2026-10-26T11:30:46Z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